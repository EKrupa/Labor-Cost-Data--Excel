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682CF1DF-99D7-47E0-A3C3-0301E3EAF59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_Labor_Cost" sheetId="1" r:id="rId1"/>
    <sheet name="Shift Orders" sheetId="3" r:id="rId2"/>
    <sheet name="Labor Hours" sheetId="4" r:id="rId3"/>
  </sheets>
  <calcPr calcId="191028"/>
  <pivotCaches>
    <pivotCache cacheId="1186" r:id="rId4"/>
    <pivotCache cacheId="12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M2" i="1"/>
  <c r="O2" i="1" s="1"/>
  <c r="P2" i="1" s="1"/>
  <c r="M3" i="1"/>
  <c r="O3" i="1" s="1"/>
  <c r="P3" i="1" s="1"/>
  <c r="M4" i="1"/>
  <c r="O4" i="1" s="1"/>
  <c r="P4" i="1" s="1"/>
  <c r="M5" i="1"/>
  <c r="O5" i="1" s="1"/>
  <c r="P5" i="1" s="1"/>
  <c r="M6" i="1"/>
  <c r="O6" i="1" s="1"/>
  <c r="P6" i="1" s="1"/>
  <c r="M7" i="1"/>
  <c r="O7" i="1" s="1"/>
  <c r="P7" i="1" s="1"/>
  <c r="M8" i="1"/>
  <c r="O8" i="1" s="1"/>
  <c r="P8" i="1" s="1"/>
  <c r="M9" i="1"/>
  <c r="O9" i="1" s="1"/>
  <c r="P9" i="1" s="1"/>
  <c r="M10" i="1"/>
  <c r="O10" i="1" s="1"/>
  <c r="P10" i="1" s="1"/>
  <c r="M11" i="1"/>
  <c r="O11" i="1" s="1"/>
  <c r="P11" i="1" s="1"/>
  <c r="M12" i="1"/>
  <c r="O12" i="1" s="1"/>
  <c r="P12" i="1" s="1"/>
  <c r="M13" i="1"/>
  <c r="O13" i="1" s="1"/>
  <c r="P13" i="1" s="1"/>
  <c r="M14" i="1"/>
  <c r="O14" i="1" s="1"/>
  <c r="P14" i="1" s="1"/>
  <c r="M15" i="1"/>
  <c r="O15" i="1" s="1"/>
  <c r="P15" i="1" s="1"/>
  <c r="M16" i="1"/>
  <c r="O16" i="1" s="1"/>
  <c r="P16" i="1" s="1"/>
  <c r="M17" i="1"/>
  <c r="O17" i="1" s="1"/>
  <c r="P17" i="1" s="1"/>
  <c r="M18" i="1"/>
  <c r="O18" i="1" s="1"/>
  <c r="P18" i="1" s="1"/>
  <c r="M19" i="1"/>
  <c r="O19" i="1" s="1"/>
  <c r="P19" i="1" s="1"/>
  <c r="M20" i="1"/>
  <c r="O20" i="1" s="1"/>
  <c r="P20" i="1" s="1"/>
  <c r="M21" i="1"/>
  <c r="O21" i="1" s="1"/>
  <c r="P21" i="1" s="1"/>
  <c r="M22" i="1"/>
  <c r="O22" i="1" s="1"/>
  <c r="P22" i="1" s="1"/>
  <c r="M23" i="1"/>
  <c r="O23" i="1" s="1"/>
  <c r="P23" i="1" s="1"/>
  <c r="M24" i="1"/>
  <c r="O24" i="1" s="1"/>
  <c r="P24" i="1" s="1"/>
  <c r="M25" i="1"/>
  <c r="O25" i="1" s="1"/>
  <c r="P25" i="1" s="1"/>
  <c r="M26" i="1"/>
  <c r="O26" i="1" s="1"/>
  <c r="P26" i="1" s="1"/>
  <c r="M27" i="1"/>
  <c r="O27" i="1" s="1"/>
  <c r="P27" i="1" s="1"/>
  <c r="M28" i="1"/>
  <c r="O28" i="1" s="1"/>
  <c r="P28" i="1" s="1"/>
  <c r="M29" i="1"/>
  <c r="O29" i="1" s="1"/>
  <c r="P29" i="1" s="1"/>
  <c r="M30" i="1"/>
  <c r="O30" i="1" s="1"/>
  <c r="P30" i="1" s="1"/>
  <c r="M31" i="1"/>
  <c r="O31" i="1" s="1"/>
  <c r="P31" i="1" s="1"/>
  <c r="M32" i="1"/>
  <c r="O32" i="1" s="1"/>
  <c r="P32" i="1" s="1"/>
  <c r="M33" i="1"/>
  <c r="O33" i="1" s="1"/>
  <c r="P33" i="1" s="1"/>
  <c r="M34" i="1"/>
  <c r="O34" i="1" s="1"/>
  <c r="P34" i="1" s="1"/>
  <c r="M35" i="1"/>
  <c r="O35" i="1" s="1"/>
  <c r="P35" i="1" s="1"/>
  <c r="M36" i="1"/>
  <c r="O36" i="1" s="1"/>
  <c r="P36" i="1" s="1"/>
  <c r="M37" i="1"/>
  <c r="O37" i="1" s="1"/>
  <c r="P37" i="1" s="1"/>
  <c r="M38" i="1"/>
  <c r="O38" i="1" s="1"/>
  <c r="P38" i="1" s="1"/>
  <c r="M39" i="1"/>
  <c r="O39" i="1" s="1"/>
  <c r="P39" i="1" s="1"/>
  <c r="M40" i="1"/>
  <c r="O40" i="1" s="1"/>
  <c r="P40" i="1" s="1"/>
  <c r="M41" i="1"/>
  <c r="O41" i="1" s="1"/>
  <c r="P41" i="1" s="1"/>
  <c r="M42" i="1"/>
  <c r="O42" i="1" s="1"/>
  <c r="P42" i="1" s="1"/>
  <c r="M43" i="1"/>
  <c r="O43" i="1" s="1"/>
  <c r="P43" i="1" s="1"/>
  <c r="M44" i="1"/>
  <c r="O44" i="1" s="1"/>
  <c r="P44" i="1" s="1"/>
  <c r="M45" i="1"/>
  <c r="O45" i="1" s="1"/>
  <c r="P45" i="1" s="1"/>
  <c r="M46" i="1"/>
  <c r="O46" i="1" s="1"/>
  <c r="P46" i="1" s="1"/>
  <c r="M47" i="1"/>
  <c r="O47" i="1" s="1"/>
  <c r="P47" i="1" s="1"/>
  <c r="M48" i="1"/>
  <c r="O48" i="1" s="1"/>
  <c r="P48" i="1" s="1"/>
  <c r="M49" i="1"/>
  <c r="O49" i="1" s="1"/>
  <c r="P49" i="1" s="1"/>
  <c r="M50" i="1"/>
  <c r="O50" i="1" s="1"/>
  <c r="P50" i="1" s="1"/>
  <c r="M51" i="1"/>
  <c r="O51" i="1" s="1"/>
  <c r="P51" i="1" s="1"/>
  <c r="M52" i="1"/>
  <c r="O52" i="1" s="1"/>
  <c r="P52" i="1" s="1"/>
  <c r="M53" i="1"/>
  <c r="O53" i="1" s="1"/>
  <c r="P53" i="1" s="1"/>
  <c r="M54" i="1"/>
  <c r="O54" i="1" s="1"/>
  <c r="P54" i="1" s="1"/>
  <c r="M55" i="1"/>
  <c r="O55" i="1" s="1"/>
  <c r="P55" i="1" s="1"/>
  <c r="M56" i="1"/>
  <c r="O56" i="1" s="1"/>
  <c r="P56" i="1" s="1"/>
  <c r="M57" i="1"/>
  <c r="O57" i="1" s="1"/>
  <c r="P57" i="1" s="1"/>
  <c r="M58" i="1"/>
  <c r="O58" i="1" s="1"/>
  <c r="P58" i="1" s="1"/>
  <c r="M59" i="1"/>
  <c r="O59" i="1" s="1"/>
  <c r="P59" i="1" s="1"/>
  <c r="M60" i="1"/>
  <c r="O60" i="1" s="1"/>
  <c r="P60" i="1" s="1"/>
  <c r="M61" i="1"/>
  <c r="O61" i="1" s="1"/>
  <c r="P61" i="1" s="1"/>
  <c r="M62" i="1"/>
  <c r="O62" i="1" s="1"/>
  <c r="P62" i="1" s="1"/>
  <c r="M63" i="1"/>
  <c r="O63" i="1" s="1"/>
  <c r="P63" i="1" s="1"/>
  <c r="M64" i="1"/>
  <c r="O64" i="1" s="1"/>
  <c r="P64" i="1" s="1"/>
  <c r="M65" i="1"/>
  <c r="O65" i="1" s="1"/>
  <c r="P65" i="1" s="1"/>
  <c r="M66" i="1"/>
  <c r="O66" i="1" s="1"/>
  <c r="P66" i="1" s="1"/>
  <c r="M67" i="1"/>
  <c r="O67" i="1" s="1"/>
  <c r="P67" i="1" s="1"/>
  <c r="M68" i="1"/>
  <c r="O68" i="1" s="1"/>
  <c r="P68" i="1" s="1"/>
  <c r="M69" i="1"/>
  <c r="O69" i="1" s="1"/>
  <c r="P69" i="1" s="1"/>
  <c r="M70" i="1"/>
  <c r="O70" i="1" s="1"/>
  <c r="P70" i="1" s="1"/>
  <c r="M71" i="1"/>
  <c r="O71" i="1" s="1"/>
  <c r="P71" i="1" s="1"/>
  <c r="M72" i="1"/>
  <c r="O72" i="1" s="1"/>
  <c r="P72" i="1" s="1"/>
  <c r="M73" i="1"/>
  <c r="O73" i="1" s="1"/>
  <c r="P73" i="1" s="1"/>
  <c r="M74" i="1"/>
  <c r="O74" i="1" s="1"/>
  <c r="P74" i="1" s="1"/>
  <c r="M75" i="1"/>
  <c r="O75" i="1" s="1"/>
  <c r="P75" i="1" s="1"/>
  <c r="M76" i="1"/>
  <c r="O76" i="1" s="1"/>
  <c r="P76" i="1" s="1"/>
  <c r="M77" i="1"/>
  <c r="O77" i="1" s="1"/>
  <c r="P77" i="1" s="1"/>
  <c r="M78" i="1"/>
  <c r="O78" i="1" s="1"/>
  <c r="P78" i="1" s="1"/>
  <c r="M79" i="1"/>
  <c r="O79" i="1" s="1"/>
  <c r="P79" i="1" s="1"/>
  <c r="M80" i="1"/>
  <c r="O80" i="1" s="1"/>
  <c r="P80" i="1" s="1"/>
  <c r="M81" i="1"/>
  <c r="O81" i="1" s="1"/>
  <c r="P81" i="1" s="1"/>
  <c r="M82" i="1"/>
  <c r="O82" i="1" s="1"/>
  <c r="P82" i="1" s="1"/>
  <c r="M83" i="1"/>
  <c r="O83" i="1" s="1"/>
  <c r="P83" i="1" s="1"/>
  <c r="M84" i="1"/>
  <c r="O84" i="1" s="1"/>
  <c r="P84" i="1" s="1"/>
  <c r="M85" i="1"/>
  <c r="O85" i="1" s="1"/>
  <c r="P85" i="1" s="1"/>
  <c r="M86" i="1"/>
  <c r="O86" i="1" s="1"/>
  <c r="P86" i="1" s="1"/>
  <c r="M87" i="1"/>
  <c r="O87" i="1" s="1"/>
  <c r="P87" i="1" s="1"/>
  <c r="M88" i="1"/>
  <c r="O88" i="1" s="1"/>
  <c r="P88" i="1" s="1"/>
  <c r="M89" i="1"/>
  <c r="O89" i="1" s="1"/>
  <c r="P89" i="1" s="1"/>
  <c r="M90" i="1"/>
  <c r="O90" i="1" s="1"/>
  <c r="P90" i="1" s="1"/>
  <c r="M91" i="1"/>
  <c r="O91" i="1" s="1"/>
  <c r="P91" i="1" s="1"/>
  <c r="M92" i="1"/>
  <c r="O92" i="1" s="1"/>
  <c r="P92" i="1" s="1"/>
  <c r="M93" i="1"/>
  <c r="O93" i="1" s="1"/>
  <c r="P93" i="1" s="1"/>
  <c r="M94" i="1"/>
  <c r="O94" i="1" s="1"/>
  <c r="P94" i="1" s="1"/>
  <c r="M95" i="1"/>
  <c r="O95" i="1" s="1"/>
  <c r="P95" i="1" s="1"/>
  <c r="M96" i="1"/>
  <c r="O96" i="1" s="1"/>
  <c r="P96" i="1" s="1"/>
  <c r="M97" i="1"/>
  <c r="O97" i="1" s="1"/>
  <c r="P97" i="1" s="1"/>
  <c r="M98" i="1"/>
  <c r="O98" i="1" s="1"/>
  <c r="P98" i="1" s="1"/>
  <c r="M99" i="1"/>
  <c r="O99" i="1" s="1"/>
  <c r="P99" i="1" s="1"/>
  <c r="M100" i="1"/>
  <c r="O100" i="1" s="1"/>
  <c r="P100" i="1" s="1"/>
  <c r="M101" i="1"/>
  <c r="O101" i="1" s="1"/>
  <c r="P101" i="1" s="1"/>
  <c r="M102" i="1"/>
  <c r="O102" i="1" s="1"/>
  <c r="P102" i="1" s="1"/>
  <c r="M103" i="1"/>
  <c r="O103" i="1" s="1"/>
  <c r="P103" i="1" s="1"/>
  <c r="M104" i="1"/>
  <c r="O104" i="1" s="1"/>
  <c r="P104" i="1" s="1"/>
  <c r="M105" i="1"/>
  <c r="O105" i="1" s="1"/>
  <c r="P105" i="1" s="1"/>
  <c r="M106" i="1"/>
  <c r="O106" i="1" s="1"/>
  <c r="P106" i="1" s="1"/>
  <c r="M107" i="1"/>
  <c r="O107" i="1" s="1"/>
  <c r="P107" i="1" s="1"/>
  <c r="M108" i="1"/>
  <c r="O108" i="1" s="1"/>
  <c r="P108" i="1" s="1"/>
  <c r="M109" i="1"/>
  <c r="O109" i="1" s="1"/>
  <c r="P109" i="1" s="1"/>
  <c r="M110" i="1"/>
  <c r="O110" i="1" s="1"/>
  <c r="P110" i="1" s="1"/>
  <c r="M111" i="1"/>
  <c r="O111" i="1" s="1"/>
  <c r="P111" i="1" s="1"/>
  <c r="M112" i="1"/>
  <c r="O112" i="1" s="1"/>
  <c r="P112" i="1" s="1"/>
  <c r="M113" i="1"/>
  <c r="O113" i="1" s="1"/>
  <c r="P113" i="1" s="1"/>
  <c r="M114" i="1"/>
  <c r="O114" i="1" s="1"/>
  <c r="P114" i="1" s="1"/>
  <c r="M115" i="1"/>
  <c r="O115" i="1" s="1"/>
  <c r="P115" i="1" s="1"/>
  <c r="M116" i="1"/>
  <c r="O116" i="1" s="1"/>
  <c r="P116" i="1" s="1"/>
  <c r="M117" i="1"/>
  <c r="O117" i="1" s="1"/>
  <c r="P117" i="1" s="1"/>
  <c r="M118" i="1"/>
  <c r="O118" i="1" s="1"/>
  <c r="P118" i="1" s="1"/>
  <c r="M119" i="1"/>
  <c r="O119" i="1" s="1"/>
  <c r="P119" i="1" s="1"/>
  <c r="M120" i="1"/>
  <c r="O120" i="1" s="1"/>
  <c r="P120" i="1" s="1"/>
  <c r="M121" i="1"/>
  <c r="O121" i="1" s="1"/>
  <c r="P121" i="1" s="1"/>
  <c r="M122" i="1"/>
  <c r="O122" i="1" s="1"/>
  <c r="P122" i="1" s="1"/>
  <c r="M123" i="1"/>
  <c r="O123" i="1" s="1"/>
  <c r="P123" i="1" s="1"/>
  <c r="M124" i="1"/>
  <c r="O124" i="1" s="1"/>
  <c r="P124" i="1" s="1"/>
  <c r="M125" i="1"/>
  <c r="O125" i="1" s="1"/>
  <c r="P125" i="1" s="1"/>
  <c r="M126" i="1"/>
  <c r="O126" i="1" s="1"/>
  <c r="P126" i="1" s="1"/>
  <c r="M127" i="1"/>
  <c r="O127" i="1" s="1"/>
  <c r="P127" i="1" s="1"/>
  <c r="M128" i="1"/>
  <c r="O128" i="1" s="1"/>
  <c r="P128" i="1" s="1"/>
  <c r="M129" i="1"/>
  <c r="O129" i="1" s="1"/>
  <c r="P129" i="1" s="1"/>
  <c r="M130" i="1"/>
  <c r="O130" i="1" s="1"/>
  <c r="P130" i="1" s="1"/>
  <c r="M131" i="1"/>
  <c r="O131" i="1" s="1"/>
  <c r="P131" i="1" s="1"/>
  <c r="M132" i="1"/>
  <c r="O132" i="1" s="1"/>
  <c r="P132" i="1" s="1"/>
  <c r="M133" i="1"/>
  <c r="O133" i="1" s="1"/>
  <c r="P133" i="1" s="1"/>
  <c r="M134" i="1"/>
  <c r="O134" i="1" s="1"/>
  <c r="P134" i="1" s="1"/>
  <c r="M135" i="1"/>
  <c r="O135" i="1" s="1"/>
  <c r="P135" i="1" s="1"/>
  <c r="M136" i="1"/>
  <c r="O136" i="1" s="1"/>
  <c r="P136" i="1" s="1"/>
  <c r="M137" i="1"/>
  <c r="O137" i="1" s="1"/>
  <c r="P137" i="1" s="1"/>
  <c r="M138" i="1"/>
  <c r="O138" i="1" s="1"/>
  <c r="P138" i="1" s="1"/>
  <c r="M139" i="1"/>
  <c r="O139" i="1" s="1"/>
  <c r="P139" i="1" s="1"/>
  <c r="M140" i="1"/>
  <c r="O140" i="1" s="1"/>
  <c r="P140" i="1" s="1"/>
  <c r="M141" i="1"/>
  <c r="O141" i="1" s="1"/>
  <c r="P141" i="1" s="1"/>
  <c r="M142" i="1"/>
  <c r="O142" i="1" s="1"/>
  <c r="P142" i="1" s="1"/>
  <c r="M143" i="1"/>
  <c r="O143" i="1" s="1"/>
  <c r="P143" i="1" s="1"/>
  <c r="M144" i="1"/>
  <c r="O144" i="1" s="1"/>
  <c r="P144" i="1" s="1"/>
  <c r="M145" i="1"/>
  <c r="O145" i="1" s="1"/>
  <c r="P145" i="1" s="1"/>
  <c r="M146" i="1"/>
  <c r="O146" i="1" s="1"/>
  <c r="P146" i="1" s="1"/>
  <c r="M147" i="1"/>
  <c r="O147" i="1" s="1"/>
  <c r="P147" i="1" s="1"/>
  <c r="M148" i="1"/>
  <c r="O148" i="1" s="1"/>
  <c r="P148" i="1" s="1"/>
  <c r="M149" i="1"/>
  <c r="O149" i="1" s="1"/>
  <c r="P149" i="1" s="1"/>
  <c r="M150" i="1"/>
  <c r="O150" i="1" s="1"/>
  <c r="P150" i="1" s="1"/>
  <c r="M151" i="1"/>
  <c r="O151" i="1" s="1"/>
  <c r="P151" i="1" s="1"/>
  <c r="M152" i="1"/>
  <c r="O152" i="1" s="1"/>
  <c r="P152" i="1" s="1"/>
  <c r="M153" i="1"/>
  <c r="O153" i="1" s="1"/>
  <c r="P153" i="1" s="1"/>
  <c r="M154" i="1"/>
  <c r="O154" i="1" s="1"/>
  <c r="P154" i="1" s="1"/>
  <c r="M155" i="1"/>
  <c r="O155" i="1" s="1"/>
  <c r="P155" i="1" s="1"/>
  <c r="M156" i="1"/>
  <c r="O156" i="1" s="1"/>
  <c r="P156" i="1" s="1"/>
  <c r="M157" i="1"/>
  <c r="O157" i="1" s="1"/>
  <c r="P157" i="1" s="1"/>
  <c r="M158" i="1"/>
  <c r="O158" i="1" s="1"/>
  <c r="P158" i="1" s="1"/>
  <c r="M159" i="1"/>
  <c r="O159" i="1" s="1"/>
  <c r="P159" i="1" s="1"/>
  <c r="M160" i="1"/>
  <c r="O160" i="1" s="1"/>
  <c r="P160" i="1" s="1"/>
  <c r="M161" i="1"/>
  <c r="O161" i="1" s="1"/>
  <c r="P161" i="1" s="1"/>
  <c r="M162" i="1"/>
  <c r="O162" i="1" s="1"/>
  <c r="P162" i="1" s="1"/>
  <c r="M163" i="1"/>
  <c r="O163" i="1" s="1"/>
  <c r="P163" i="1" s="1"/>
  <c r="M164" i="1"/>
  <c r="O164" i="1" s="1"/>
  <c r="P164" i="1" s="1"/>
  <c r="M165" i="1"/>
  <c r="O165" i="1" s="1"/>
  <c r="P165" i="1" s="1"/>
  <c r="M166" i="1"/>
  <c r="O166" i="1" s="1"/>
  <c r="P166" i="1" s="1"/>
  <c r="M167" i="1"/>
  <c r="O167" i="1" s="1"/>
  <c r="P167" i="1" s="1"/>
  <c r="M168" i="1"/>
  <c r="O168" i="1" s="1"/>
  <c r="P168" i="1" s="1"/>
  <c r="M169" i="1"/>
  <c r="O169" i="1" s="1"/>
  <c r="P169" i="1" s="1"/>
  <c r="M170" i="1"/>
  <c r="O170" i="1" s="1"/>
  <c r="P170" i="1" s="1"/>
  <c r="M171" i="1"/>
  <c r="O171" i="1" s="1"/>
  <c r="P171" i="1" s="1"/>
  <c r="M172" i="1"/>
  <c r="O172" i="1" s="1"/>
  <c r="P172" i="1" s="1"/>
  <c r="M173" i="1"/>
  <c r="O173" i="1" s="1"/>
  <c r="P173" i="1" s="1"/>
  <c r="M174" i="1"/>
  <c r="O174" i="1" s="1"/>
  <c r="P174" i="1" s="1"/>
  <c r="M175" i="1"/>
  <c r="O175" i="1" s="1"/>
  <c r="P175" i="1" s="1"/>
  <c r="M176" i="1"/>
  <c r="O176" i="1" s="1"/>
  <c r="P176" i="1" s="1"/>
  <c r="M177" i="1"/>
  <c r="O177" i="1" s="1"/>
  <c r="P177" i="1" s="1"/>
  <c r="M178" i="1"/>
  <c r="O178" i="1" s="1"/>
  <c r="P178" i="1" s="1"/>
  <c r="M179" i="1"/>
  <c r="O179" i="1" s="1"/>
  <c r="P179" i="1" s="1"/>
  <c r="M180" i="1"/>
  <c r="O180" i="1" s="1"/>
  <c r="P180" i="1" s="1"/>
  <c r="M181" i="1"/>
  <c r="O181" i="1" s="1"/>
  <c r="P181" i="1" s="1"/>
  <c r="M182" i="1"/>
  <c r="O182" i="1" s="1"/>
  <c r="P182" i="1" s="1"/>
  <c r="M183" i="1"/>
  <c r="O183" i="1" s="1"/>
  <c r="P183" i="1" s="1"/>
  <c r="M184" i="1"/>
  <c r="O184" i="1" s="1"/>
  <c r="P184" i="1" s="1"/>
  <c r="M185" i="1"/>
  <c r="O185" i="1" s="1"/>
  <c r="P185" i="1" s="1"/>
  <c r="M186" i="1"/>
  <c r="O186" i="1" s="1"/>
  <c r="P186" i="1" s="1"/>
  <c r="M187" i="1"/>
  <c r="O187" i="1" s="1"/>
  <c r="P187" i="1" s="1"/>
  <c r="M188" i="1"/>
  <c r="O188" i="1" s="1"/>
  <c r="P188" i="1" s="1"/>
  <c r="M189" i="1"/>
  <c r="O189" i="1" s="1"/>
  <c r="P189" i="1" s="1"/>
  <c r="M190" i="1"/>
  <c r="O190" i="1" s="1"/>
  <c r="P190" i="1" s="1"/>
  <c r="M191" i="1"/>
  <c r="O191" i="1" s="1"/>
  <c r="P191" i="1" s="1"/>
  <c r="M192" i="1"/>
  <c r="O192" i="1" s="1"/>
  <c r="P192" i="1" s="1"/>
  <c r="M193" i="1"/>
  <c r="O193" i="1" s="1"/>
  <c r="P193" i="1" s="1"/>
  <c r="M194" i="1"/>
  <c r="O194" i="1" s="1"/>
  <c r="P194" i="1" s="1"/>
  <c r="M195" i="1"/>
  <c r="O195" i="1" s="1"/>
  <c r="P195" i="1" s="1"/>
  <c r="M196" i="1"/>
  <c r="O196" i="1" s="1"/>
  <c r="P196" i="1" s="1"/>
  <c r="M197" i="1"/>
  <c r="O197" i="1" s="1"/>
  <c r="P197" i="1" s="1"/>
  <c r="M198" i="1"/>
  <c r="O198" i="1" s="1"/>
  <c r="P198" i="1" s="1"/>
  <c r="M199" i="1"/>
  <c r="O199" i="1" s="1"/>
  <c r="P199" i="1" s="1"/>
  <c r="M200" i="1"/>
  <c r="O200" i="1" s="1"/>
  <c r="P200" i="1" s="1"/>
  <c r="M201" i="1"/>
  <c r="O201" i="1" s="1"/>
  <c r="P201" i="1" s="1"/>
  <c r="M202" i="1"/>
  <c r="O202" i="1" s="1"/>
  <c r="P202" i="1" s="1"/>
  <c r="M203" i="1"/>
  <c r="O203" i="1" s="1"/>
  <c r="P203" i="1" s="1"/>
  <c r="M204" i="1"/>
  <c r="O204" i="1" s="1"/>
  <c r="P204" i="1" s="1"/>
  <c r="M205" i="1"/>
  <c r="O205" i="1" s="1"/>
  <c r="P205" i="1" s="1"/>
  <c r="M206" i="1"/>
  <c r="O206" i="1" s="1"/>
  <c r="P206" i="1" s="1"/>
  <c r="M207" i="1"/>
  <c r="O207" i="1" s="1"/>
  <c r="P207" i="1" s="1"/>
  <c r="M208" i="1"/>
  <c r="O208" i="1" s="1"/>
  <c r="P208" i="1" s="1"/>
  <c r="M209" i="1"/>
  <c r="O209" i="1" s="1"/>
  <c r="P209" i="1" s="1"/>
  <c r="M210" i="1"/>
  <c r="O210" i="1" s="1"/>
  <c r="P210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</calcChain>
</file>

<file path=xl/sharedStrings.xml><?xml version="1.0" encoding="utf-8"?>
<sst xmlns="http://schemas.openxmlformats.org/spreadsheetml/2006/main" count="26" uniqueCount="22">
  <si>
    <t>Date</t>
  </si>
  <si>
    <t>Shift</t>
  </si>
  <si>
    <t>Orders</t>
  </si>
  <si>
    <t>Units Shipped</t>
  </si>
  <si>
    <t>Labor Hours</t>
  </si>
  <si>
    <t>Hourly Rate</t>
  </si>
  <si>
    <t>Overtime Hours</t>
  </si>
  <si>
    <t>Shipping Costs</t>
  </si>
  <si>
    <t>SKU Count</t>
  </si>
  <si>
    <t>Units Per Labor Hour</t>
  </si>
  <si>
    <t>Orders Per Labor Hour</t>
  </si>
  <si>
    <t>Avg Units Per Order</t>
  </si>
  <si>
    <t>Reg Labor Cost</t>
  </si>
  <si>
    <t>Overtime Costs</t>
  </si>
  <si>
    <t>Total Labor Costs</t>
  </si>
  <si>
    <t>Cost Per Order</t>
  </si>
  <si>
    <t>Productivity Variance</t>
  </si>
  <si>
    <t>Sum of Orders</t>
  </si>
  <si>
    <t>(blank)</t>
  </si>
  <si>
    <t>Grand Total</t>
  </si>
  <si>
    <t>Sum of Labor Hours</t>
  </si>
  <si>
    <t>Average of Hourly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</si>
</sst>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4" borderId="4" xfId="0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5" borderId="0" xfId="0" applyFill="1"/>
    <xf numFmtId="0" fontId="0" fillId="6" borderId="6" xfId="0" applyFill="1" applyBorder="1"/>
    <xf numFmtId="0" fontId="0" fillId="6" borderId="0" xfId="0" applyFill="1" applyBorder="1"/>
    <xf numFmtId="0" fontId="0" fillId="6" borderId="7" xfId="0" applyFill="1" applyBorder="1"/>
    <xf numFmtId="0" fontId="0" fillId="0" borderId="5" xfId="0" applyBorder="1"/>
    <xf numFmtId="164" fontId="0" fillId="5" borderId="4" xfId="0" applyNumberFormat="1" applyFill="1" applyBorder="1"/>
    <xf numFmtId="164" fontId="0" fillId="5" borderId="1" xfId="0" applyNumberFormat="1" applyFill="1" applyBorder="1"/>
    <xf numFmtId="164" fontId="0" fillId="5" borderId="6" xfId="0" applyNumberFormat="1" applyFill="1" applyBorder="1"/>
    <xf numFmtId="164" fontId="0" fillId="0" borderId="0" xfId="0" applyNumberFormat="1"/>
    <xf numFmtId="164" fontId="0" fillId="3" borderId="5" xfId="0" applyNumberFormat="1" applyFill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7">
    <dxf>
      <numFmt numFmtId="164" formatCode="&quot;$&quot;#,##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2" formatCode="0.00"/>
      <fill>
        <patternFill patternType="solid">
          <fgColor indexed="64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alignment horizontal="general" vertical="bottom" textRotation="0" wrapText="1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border>
        <bottom style="medium">
          <color rgb="FF000000"/>
        </bottom>
      </border>
    </dxf>
    <dxf>
      <border outline="0">
        <top style="thin">
          <color rgb="FF000000"/>
        </top>
      </border>
    </dxf>
    <dxf>
      <fill>
        <patternFill patternType="solid">
          <fgColor indexed="64"/>
          <bgColor theme="8" tint="0.79998168889431442"/>
        </patternFill>
      </fill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37413935185" createdVersion="8" refreshedVersion="8" minRefreshableVersion="3" recordCount="219" xr:uid="{24B1D9D5-2193-41AD-AF14-0C315BAB6B57}">
  <cacheSource type="worksheet">
    <worksheetSource ref="B1:C1048576" sheet="Raw_Labor_Cost"/>
  </cacheSource>
  <cacheFields count="2">
    <cacheField name="Shift" numFmtId="0">
      <sharedItems containsString="0" containsBlank="1" containsNumber="1" containsInteger="1" minValue="1" maxValue="3" count="4">
        <n v="3"/>
        <n v="1"/>
        <n v="2"/>
        <m/>
      </sharedItems>
    </cacheField>
    <cacheField name="Orders" numFmtId="0">
      <sharedItems containsString="0" containsBlank="1" containsNumber="1" containsInteger="1" minValue="150" maxValue="600" count="162">
        <n v="571"/>
        <n v="312"/>
        <n v="284"/>
        <n v="313"/>
        <n v="216"/>
        <n v="176"/>
        <n v="328"/>
        <n v="515"/>
        <n v="336"/>
        <n v="380"/>
        <n v="268"/>
        <n v="581"/>
        <n v="438"/>
        <n v="193"/>
        <n v="565"/>
        <n v="251"/>
        <n v="476"/>
        <n v="563"/>
        <n v="532"/>
        <n v="437"/>
        <n v="260"/>
        <n v="472"/>
        <n v="331"/>
        <n v="419"/>
        <n v="228"/>
        <n v="320"/>
        <n v="540"/>
        <n v="302"/>
        <n v="408"/>
        <n v="191"/>
        <n v="454"/>
        <n v="586"/>
        <n v="205"/>
        <n v="240"/>
        <n v="534"/>
        <n v="460"/>
        <n v="296"/>
        <n v="451"/>
        <n v="274"/>
        <n v="459"/>
        <n v="300"/>
        <n v="516"/>
        <n v="357"/>
        <n v="352"/>
        <n v="537"/>
        <n v="285"/>
        <n v="160"/>
        <n v="177"/>
        <n v="333"/>
        <n v="441"/>
        <n v="559"/>
        <n v="279"/>
        <n v="225"/>
        <n v="433"/>
        <n v="400"/>
        <n v="535"/>
        <n v="464"/>
        <n v="270"/>
        <n v="195"/>
        <n v="350"/>
        <n v="467"/>
        <n v="517"/>
        <n v="150"/>
        <n v="339"/>
        <n v="259"/>
        <n v="411"/>
        <n v="446"/>
        <n v="272"/>
        <n v="151"/>
        <n v="292"/>
        <n v="335"/>
        <n v="428"/>
        <n v="173"/>
        <n v="528"/>
        <n v="447"/>
        <n v="482"/>
        <n v="533"/>
        <n v="376"/>
        <n v="208"/>
        <n v="218"/>
        <n v="465"/>
        <n v="203"/>
        <n v="440"/>
        <n v="239"/>
        <n v="435"/>
        <n v="405"/>
        <n v="542"/>
        <n v="210"/>
        <n v="162"/>
        <n v="456"/>
        <n v="439"/>
        <n v="306"/>
        <n v="170"/>
        <n v="597"/>
        <n v="531"/>
        <n v="234"/>
        <n v="200"/>
        <n v="445"/>
        <n v="356"/>
        <n v="369"/>
        <n v="553"/>
        <n v="406"/>
        <n v="598"/>
        <n v="213"/>
        <n v="318"/>
        <n v="338"/>
        <n v="570"/>
        <n v="484"/>
        <n v="417"/>
        <n v="154"/>
        <n v="393"/>
        <n v="407"/>
        <n v="153"/>
        <n v="289"/>
        <n v="329"/>
        <n v="263"/>
        <n v="536"/>
        <n v="583"/>
        <n v="567"/>
        <n v="471"/>
        <n v="166"/>
        <n v="233"/>
        <n v="314"/>
        <n v="280"/>
        <n v="209"/>
        <n v="595"/>
        <n v="450"/>
        <n v="498"/>
        <n v="530"/>
        <n v="188"/>
        <n v="394"/>
        <n v="155"/>
        <n v="295"/>
        <n v="452"/>
        <n v="453"/>
        <n v="422"/>
        <n v="500"/>
        <n v="256"/>
        <n v="184"/>
        <n v="250"/>
        <n v="219"/>
        <n v="398"/>
        <n v="600"/>
        <n v="332"/>
        <n v="175"/>
        <n v="327"/>
        <n v="505"/>
        <n v="562"/>
        <n v="248"/>
        <n v="304"/>
        <n v="486"/>
        <n v="241"/>
        <n v="389"/>
        <n v="580"/>
        <n v="190"/>
        <n v="490"/>
        <n v="383"/>
        <n v="297"/>
        <n v="341"/>
        <n v="290"/>
        <n v="16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3.376309837964" createdVersion="8" refreshedVersion="8" minRefreshableVersion="3" recordCount="219" xr:uid="{F617D700-8863-4A09-B9AB-8809572021C1}">
  <cacheSource type="worksheet">
    <worksheetSource ref="B1:F1048576" sheet="Raw_Labor_Cost"/>
  </cacheSource>
  <cacheFields count="5">
    <cacheField name="Shift" numFmtId="0">
      <sharedItems containsString="0" containsBlank="1" containsNumber="1" containsInteger="1" minValue="1" maxValue="3" count="4">
        <n v="3"/>
        <n v="2"/>
        <n v="1"/>
        <m/>
      </sharedItems>
    </cacheField>
    <cacheField name="Orders" numFmtId="0">
      <sharedItems containsString="0" containsBlank="1" containsNumber="1" containsInteger="1" minValue="150" maxValue="600"/>
    </cacheField>
    <cacheField name="Units Shipped" numFmtId="0">
      <sharedItems containsString="0" containsBlank="1" containsNumber="1" containsInteger="1" minValue="2" maxValue="10"/>
    </cacheField>
    <cacheField name="Labor Hours" numFmtId="0">
      <sharedItems containsString="0" containsBlank="1" containsNumber="1" containsInteger="1" minValue="40" maxValue="120"/>
    </cacheField>
    <cacheField name="Hourly Rate" numFmtId="0">
      <sharedItems containsString="0" containsBlank="1" containsNumber="1" containsInteger="1" minValue="18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x v="0"/>
  </r>
  <r>
    <x v="1"/>
    <x v="1"/>
  </r>
  <r>
    <x v="1"/>
    <x v="2"/>
  </r>
  <r>
    <x v="0"/>
    <x v="3"/>
  </r>
  <r>
    <x v="0"/>
    <x v="4"/>
  </r>
  <r>
    <x v="0"/>
    <x v="5"/>
  </r>
  <r>
    <x v="1"/>
    <x v="6"/>
  </r>
  <r>
    <x v="1"/>
    <x v="7"/>
  </r>
  <r>
    <x v="1"/>
    <x v="8"/>
  </r>
  <r>
    <x v="0"/>
    <x v="9"/>
  </r>
  <r>
    <x v="2"/>
    <x v="10"/>
  </r>
  <r>
    <x v="1"/>
    <x v="11"/>
  </r>
  <r>
    <x v="1"/>
    <x v="12"/>
  </r>
  <r>
    <x v="1"/>
    <x v="13"/>
  </r>
  <r>
    <x v="1"/>
    <x v="14"/>
  </r>
  <r>
    <x v="0"/>
    <x v="15"/>
  </r>
  <r>
    <x v="2"/>
    <x v="16"/>
  </r>
  <r>
    <x v="2"/>
    <x v="17"/>
  </r>
  <r>
    <x v="2"/>
    <x v="18"/>
  </r>
  <r>
    <x v="1"/>
    <x v="19"/>
  </r>
  <r>
    <x v="0"/>
    <x v="20"/>
  </r>
  <r>
    <x v="1"/>
    <x v="21"/>
  </r>
  <r>
    <x v="1"/>
    <x v="22"/>
  </r>
  <r>
    <x v="1"/>
    <x v="23"/>
  </r>
  <r>
    <x v="1"/>
    <x v="24"/>
  </r>
  <r>
    <x v="0"/>
    <x v="25"/>
  </r>
  <r>
    <x v="1"/>
    <x v="26"/>
  </r>
  <r>
    <x v="1"/>
    <x v="27"/>
  </r>
  <r>
    <x v="2"/>
    <x v="28"/>
  </r>
  <r>
    <x v="2"/>
    <x v="2"/>
  </r>
  <r>
    <x v="1"/>
    <x v="29"/>
  </r>
  <r>
    <x v="1"/>
    <x v="30"/>
  </r>
  <r>
    <x v="2"/>
    <x v="31"/>
  </r>
  <r>
    <x v="0"/>
    <x v="5"/>
  </r>
  <r>
    <x v="2"/>
    <x v="32"/>
  </r>
  <r>
    <x v="1"/>
    <x v="33"/>
  </r>
  <r>
    <x v="0"/>
    <x v="34"/>
  </r>
  <r>
    <x v="1"/>
    <x v="1"/>
  </r>
  <r>
    <x v="1"/>
    <x v="35"/>
  </r>
  <r>
    <x v="1"/>
    <x v="36"/>
  </r>
  <r>
    <x v="0"/>
    <x v="37"/>
  </r>
  <r>
    <x v="2"/>
    <x v="38"/>
  </r>
  <r>
    <x v="1"/>
    <x v="39"/>
  </r>
  <r>
    <x v="2"/>
    <x v="40"/>
  </r>
  <r>
    <x v="0"/>
    <x v="41"/>
  </r>
  <r>
    <x v="0"/>
    <x v="42"/>
  </r>
  <r>
    <x v="1"/>
    <x v="43"/>
  </r>
  <r>
    <x v="0"/>
    <x v="44"/>
  </r>
  <r>
    <x v="2"/>
    <x v="45"/>
  </r>
  <r>
    <x v="0"/>
    <x v="46"/>
  </r>
  <r>
    <x v="0"/>
    <x v="47"/>
  </r>
  <r>
    <x v="0"/>
    <x v="5"/>
  </r>
  <r>
    <x v="0"/>
    <x v="48"/>
  </r>
  <r>
    <x v="2"/>
    <x v="49"/>
  </r>
  <r>
    <x v="0"/>
    <x v="50"/>
  </r>
  <r>
    <x v="1"/>
    <x v="51"/>
  </r>
  <r>
    <x v="1"/>
    <x v="52"/>
  </r>
  <r>
    <x v="1"/>
    <x v="53"/>
  </r>
  <r>
    <x v="2"/>
    <x v="39"/>
  </r>
  <r>
    <x v="0"/>
    <x v="54"/>
  </r>
  <r>
    <x v="0"/>
    <x v="55"/>
  </r>
  <r>
    <x v="2"/>
    <x v="56"/>
  </r>
  <r>
    <x v="1"/>
    <x v="34"/>
  </r>
  <r>
    <x v="1"/>
    <x v="57"/>
  </r>
  <r>
    <x v="0"/>
    <x v="58"/>
  </r>
  <r>
    <x v="1"/>
    <x v="59"/>
  </r>
  <r>
    <x v="1"/>
    <x v="60"/>
  </r>
  <r>
    <x v="2"/>
    <x v="13"/>
  </r>
  <r>
    <x v="0"/>
    <x v="61"/>
  </r>
  <r>
    <x v="1"/>
    <x v="37"/>
  </r>
  <r>
    <x v="1"/>
    <x v="62"/>
  </r>
  <r>
    <x v="1"/>
    <x v="63"/>
  </r>
  <r>
    <x v="0"/>
    <x v="64"/>
  </r>
  <r>
    <x v="2"/>
    <x v="65"/>
  </r>
  <r>
    <x v="1"/>
    <x v="66"/>
  </r>
  <r>
    <x v="2"/>
    <x v="67"/>
  </r>
  <r>
    <x v="2"/>
    <x v="68"/>
  </r>
  <r>
    <x v="2"/>
    <x v="69"/>
  </r>
  <r>
    <x v="1"/>
    <x v="70"/>
  </r>
  <r>
    <x v="2"/>
    <x v="58"/>
  </r>
  <r>
    <x v="1"/>
    <x v="71"/>
  </r>
  <r>
    <x v="1"/>
    <x v="72"/>
  </r>
  <r>
    <x v="0"/>
    <x v="23"/>
  </r>
  <r>
    <x v="2"/>
    <x v="70"/>
  </r>
  <r>
    <x v="0"/>
    <x v="48"/>
  </r>
  <r>
    <x v="1"/>
    <x v="73"/>
  </r>
  <r>
    <x v="2"/>
    <x v="74"/>
  </r>
  <r>
    <x v="0"/>
    <x v="75"/>
  </r>
  <r>
    <x v="2"/>
    <x v="76"/>
  </r>
  <r>
    <x v="1"/>
    <x v="77"/>
  </r>
  <r>
    <x v="0"/>
    <x v="78"/>
  </r>
  <r>
    <x v="1"/>
    <x v="50"/>
  </r>
  <r>
    <x v="1"/>
    <x v="66"/>
  </r>
  <r>
    <x v="0"/>
    <x v="79"/>
  </r>
  <r>
    <x v="1"/>
    <x v="80"/>
  </r>
  <r>
    <x v="2"/>
    <x v="81"/>
  </r>
  <r>
    <x v="2"/>
    <x v="82"/>
  </r>
  <r>
    <x v="2"/>
    <x v="47"/>
  </r>
  <r>
    <x v="0"/>
    <x v="83"/>
  </r>
  <r>
    <x v="2"/>
    <x v="84"/>
  </r>
  <r>
    <x v="2"/>
    <x v="85"/>
  </r>
  <r>
    <x v="0"/>
    <x v="86"/>
  </r>
  <r>
    <x v="2"/>
    <x v="87"/>
  </r>
  <r>
    <x v="2"/>
    <x v="88"/>
  </r>
  <r>
    <x v="1"/>
    <x v="89"/>
  </r>
  <r>
    <x v="0"/>
    <x v="90"/>
  </r>
  <r>
    <x v="0"/>
    <x v="91"/>
  </r>
  <r>
    <x v="2"/>
    <x v="92"/>
  </r>
  <r>
    <x v="2"/>
    <x v="19"/>
  </r>
  <r>
    <x v="0"/>
    <x v="13"/>
  </r>
  <r>
    <x v="1"/>
    <x v="93"/>
  </r>
  <r>
    <x v="0"/>
    <x v="94"/>
  </r>
  <r>
    <x v="1"/>
    <x v="95"/>
  </r>
  <r>
    <x v="0"/>
    <x v="80"/>
  </r>
  <r>
    <x v="0"/>
    <x v="26"/>
  </r>
  <r>
    <x v="2"/>
    <x v="94"/>
  </r>
  <r>
    <x v="1"/>
    <x v="96"/>
  </r>
  <r>
    <x v="0"/>
    <x v="14"/>
  </r>
  <r>
    <x v="0"/>
    <x v="97"/>
  </r>
  <r>
    <x v="2"/>
    <x v="73"/>
  </r>
  <r>
    <x v="1"/>
    <x v="98"/>
  </r>
  <r>
    <x v="2"/>
    <x v="99"/>
  </r>
  <r>
    <x v="1"/>
    <x v="100"/>
  </r>
  <r>
    <x v="0"/>
    <x v="101"/>
  </r>
  <r>
    <x v="1"/>
    <x v="1"/>
  </r>
  <r>
    <x v="1"/>
    <x v="102"/>
  </r>
  <r>
    <x v="2"/>
    <x v="103"/>
  </r>
  <r>
    <x v="2"/>
    <x v="58"/>
  </r>
  <r>
    <x v="0"/>
    <x v="72"/>
  </r>
  <r>
    <x v="0"/>
    <x v="104"/>
  </r>
  <r>
    <x v="0"/>
    <x v="105"/>
  </r>
  <r>
    <x v="1"/>
    <x v="106"/>
  </r>
  <r>
    <x v="1"/>
    <x v="107"/>
  </r>
  <r>
    <x v="2"/>
    <x v="74"/>
  </r>
  <r>
    <x v="1"/>
    <x v="108"/>
  </r>
  <r>
    <x v="1"/>
    <x v="48"/>
  </r>
  <r>
    <x v="2"/>
    <x v="109"/>
  </r>
  <r>
    <x v="0"/>
    <x v="110"/>
  </r>
  <r>
    <x v="0"/>
    <x v="111"/>
  </r>
  <r>
    <x v="1"/>
    <x v="47"/>
  </r>
  <r>
    <x v="1"/>
    <x v="112"/>
  </r>
  <r>
    <x v="0"/>
    <x v="113"/>
  </r>
  <r>
    <x v="2"/>
    <x v="114"/>
  </r>
  <r>
    <x v="1"/>
    <x v="115"/>
  </r>
  <r>
    <x v="1"/>
    <x v="95"/>
  </r>
  <r>
    <x v="1"/>
    <x v="116"/>
  </r>
  <r>
    <x v="2"/>
    <x v="117"/>
  </r>
  <r>
    <x v="1"/>
    <x v="118"/>
  </r>
  <r>
    <x v="1"/>
    <x v="42"/>
  </r>
  <r>
    <x v="0"/>
    <x v="119"/>
  </r>
  <r>
    <x v="0"/>
    <x v="120"/>
  </r>
  <r>
    <x v="2"/>
    <x v="121"/>
  </r>
  <r>
    <x v="1"/>
    <x v="122"/>
  </r>
  <r>
    <x v="2"/>
    <x v="123"/>
  </r>
  <r>
    <x v="1"/>
    <x v="53"/>
  </r>
  <r>
    <x v="1"/>
    <x v="62"/>
  </r>
  <r>
    <x v="0"/>
    <x v="89"/>
  </r>
  <r>
    <x v="1"/>
    <x v="71"/>
  </r>
  <r>
    <x v="0"/>
    <x v="25"/>
  </r>
  <r>
    <x v="0"/>
    <x v="124"/>
  </r>
  <r>
    <x v="1"/>
    <x v="20"/>
  </r>
  <r>
    <x v="0"/>
    <x v="125"/>
  </r>
  <r>
    <x v="0"/>
    <x v="126"/>
  </r>
  <r>
    <x v="1"/>
    <x v="24"/>
  </r>
  <r>
    <x v="2"/>
    <x v="127"/>
  </r>
  <r>
    <x v="2"/>
    <x v="128"/>
  </r>
  <r>
    <x v="2"/>
    <x v="129"/>
  </r>
  <r>
    <x v="0"/>
    <x v="102"/>
  </r>
  <r>
    <x v="1"/>
    <x v="130"/>
  </r>
  <r>
    <x v="0"/>
    <x v="131"/>
  </r>
  <r>
    <x v="1"/>
    <x v="132"/>
  </r>
  <r>
    <x v="2"/>
    <x v="133"/>
  </r>
  <r>
    <x v="1"/>
    <x v="90"/>
  </r>
  <r>
    <x v="2"/>
    <x v="134"/>
  </r>
  <r>
    <x v="2"/>
    <x v="112"/>
  </r>
  <r>
    <x v="1"/>
    <x v="38"/>
  </r>
  <r>
    <x v="2"/>
    <x v="92"/>
  </r>
  <r>
    <x v="1"/>
    <x v="135"/>
  </r>
  <r>
    <x v="2"/>
    <x v="26"/>
  </r>
  <r>
    <x v="0"/>
    <x v="136"/>
  </r>
  <r>
    <x v="2"/>
    <x v="137"/>
  </r>
  <r>
    <x v="0"/>
    <x v="74"/>
  </r>
  <r>
    <x v="0"/>
    <x v="138"/>
  </r>
  <r>
    <x v="1"/>
    <x v="139"/>
  </r>
  <r>
    <x v="0"/>
    <x v="140"/>
  </r>
  <r>
    <x v="0"/>
    <x v="128"/>
  </r>
  <r>
    <x v="0"/>
    <x v="141"/>
  </r>
  <r>
    <x v="2"/>
    <x v="127"/>
  </r>
  <r>
    <x v="0"/>
    <x v="142"/>
  </r>
  <r>
    <x v="1"/>
    <x v="143"/>
  </r>
  <r>
    <x v="2"/>
    <x v="144"/>
  </r>
  <r>
    <x v="2"/>
    <x v="145"/>
  </r>
  <r>
    <x v="2"/>
    <x v="146"/>
  </r>
  <r>
    <x v="0"/>
    <x v="147"/>
  </r>
  <r>
    <x v="2"/>
    <x v="148"/>
  </r>
  <r>
    <x v="2"/>
    <x v="149"/>
  </r>
  <r>
    <x v="1"/>
    <x v="150"/>
  </r>
  <r>
    <x v="0"/>
    <x v="151"/>
  </r>
  <r>
    <x v="0"/>
    <x v="152"/>
  </r>
  <r>
    <x v="0"/>
    <x v="153"/>
  </r>
  <r>
    <x v="1"/>
    <x v="154"/>
  </r>
  <r>
    <x v="0"/>
    <x v="155"/>
  </r>
  <r>
    <x v="0"/>
    <x v="156"/>
  </r>
  <r>
    <x v="1"/>
    <x v="50"/>
  </r>
  <r>
    <x v="0"/>
    <x v="157"/>
  </r>
  <r>
    <x v="1"/>
    <x v="98"/>
  </r>
  <r>
    <x v="0"/>
    <x v="158"/>
  </r>
  <r>
    <x v="2"/>
    <x v="159"/>
  </r>
  <r>
    <x v="0"/>
    <x v="160"/>
  </r>
  <r>
    <x v="3"/>
    <x v="161"/>
  </r>
  <r>
    <x v="3"/>
    <x v="161"/>
  </r>
  <r>
    <x v="3"/>
    <x v="161"/>
  </r>
  <r>
    <x v="3"/>
    <x v="161"/>
  </r>
  <r>
    <x v="3"/>
    <x v="161"/>
  </r>
  <r>
    <x v="3"/>
    <x v="161"/>
  </r>
  <r>
    <x v="3"/>
    <x v="161"/>
  </r>
  <r>
    <x v="3"/>
    <x v="161"/>
  </r>
  <r>
    <x v="3"/>
    <x v="161"/>
  </r>
  <r>
    <x v="3"/>
    <x v="1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x v="0"/>
    <n v="571"/>
    <n v="7"/>
    <n v="47"/>
    <n v="22"/>
  </r>
  <r>
    <x v="0"/>
    <n v="312"/>
    <n v="8"/>
    <n v="48"/>
    <n v="23"/>
  </r>
  <r>
    <x v="1"/>
    <n v="284"/>
    <n v="3"/>
    <n v="66"/>
    <n v="24"/>
  </r>
  <r>
    <x v="0"/>
    <n v="313"/>
    <n v="2"/>
    <n v="40"/>
    <n v="19"/>
  </r>
  <r>
    <x v="2"/>
    <n v="216"/>
    <n v="3"/>
    <n v="59"/>
    <n v="18"/>
  </r>
  <r>
    <x v="2"/>
    <n v="176"/>
    <n v="7"/>
    <n v="45"/>
    <n v="25"/>
  </r>
  <r>
    <x v="1"/>
    <n v="328"/>
    <n v="6"/>
    <n v="76"/>
    <n v="25"/>
  </r>
  <r>
    <x v="1"/>
    <n v="515"/>
    <n v="6"/>
    <n v="70"/>
    <n v="18"/>
  </r>
  <r>
    <x v="0"/>
    <n v="336"/>
    <n v="6"/>
    <n v="111"/>
    <n v="24"/>
  </r>
  <r>
    <x v="2"/>
    <n v="380"/>
    <n v="3"/>
    <n v="83"/>
    <n v="29"/>
  </r>
  <r>
    <x v="2"/>
    <n v="268"/>
    <n v="10"/>
    <n v="81"/>
    <n v="18"/>
  </r>
  <r>
    <x v="1"/>
    <n v="581"/>
    <n v="8"/>
    <n v="101"/>
    <n v="22"/>
  </r>
  <r>
    <x v="2"/>
    <n v="438"/>
    <n v="8"/>
    <n v="73"/>
    <n v="25"/>
  </r>
  <r>
    <x v="2"/>
    <n v="193"/>
    <n v="8"/>
    <n v="63"/>
    <n v="22"/>
  </r>
  <r>
    <x v="1"/>
    <n v="565"/>
    <n v="5"/>
    <n v="71"/>
    <n v="22"/>
  </r>
  <r>
    <x v="1"/>
    <n v="251"/>
    <n v="3"/>
    <n v="98"/>
    <n v="25"/>
  </r>
  <r>
    <x v="1"/>
    <n v="476"/>
    <n v="9"/>
    <n v="120"/>
    <n v="18"/>
  </r>
  <r>
    <x v="2"/>
    <n v="563"/>
    <n v="2"/>
    <n v="84"/>
    <n v="25"/>
  </r>
  <r>
    <x v="2"/>
    <n v="532"/>
    <n v="7"/>
    <n v="84"/>
    <n v="27"/>
  </r>
  <r>
    <x v="1"/>
    <n v="437"/>
    <n v="8"/>
    <n v="63"/>
    <n v="30"/>
  </r>
  <r>
    <x v="0"/>
    <n v="260"/>
    <n v="8"/>
    <n v="75"/>
    <n v="26"/>
  </r>
  <r>
    <x v="2"/>
    <n v="472"/>
    <n v="4"/>
    <n v="45"/>
    <n v="22"/>
  </r>
  <r>
    <x v="1"/>
    <n v="331"/>
    <n v="5"/>
    <n v="56"/>
    <n v="21"/>
  </r>
  <r>
    <x v="2"/>
    <n v="419"/>
    <n v="8"/>
    <n v="43"/>
    <n v="30"/>
  </r>
  <r>
    <x v="2"/>
    <n v="228"/>
    <n v="10"/>
    <n v="100"/>
    <n v="27"/>
  </r>
  <r>
    <x v="0"/>
    <n v="320"/>
    <n v="6"/>
    <n v="86"/>
    <n v="27"/>
  </r>
  <r>
    <x v="1"/>
    <n v="540"/>
    <n v="10"/>
    <n v="102"/>
    <n v="26"/>
  </r>
  <r>
    <x v="0"/>
    <n v="302"/>
    <n v="8"/>
    <n v="81"/>
    <n v="25"/>
  </r>
  <r>
    <x v="0"/>
    <n v="408"/>
    <n v="5"/>
    <n v="74"/>
    <n v="20"/>
  </r>
  <r>
    <x v="0"/>
    <n v="284"/>
    <n v="9"/>
    <n v="45"/>
    <n v="26"/>
  </r>
  <r>
    <x v="1"/>
    <n v="191"/>
    <n v="4"/>
    <n v="83"/>
    <n v="18"/>
  </r>
  <r>
    <x v="2"/>
    <n v="454"/>
    <n v="7"/>
    <n v="98"/>
    <n v="18"/>
  </r>
  <r>
    <x v="1"/>
    <n v="586"/>
    <n v="10"/>
    <n v="48"/>
    <n v="26"/>
  </r>
  <r>
    <x v="1"/>
    <n v="176"/>
    <n v="4"/>
    <n v="118"/>
    <n v="21"/>
  </r>
  <r>
    <x v="2"/>
    <n v="205"/>
    <n v="4"/>
    <n v="76"/>
    <n v="21"/>
  </r>
  <r>
    <x v="0"/>
    <n v="240"/>
    <n v="5"/>
    <n v="109"/>
    <n v="25"/>
  </r>
  <r>
    <x v="2"/>
    <n v="534"/>
    <n v="3"/>
    <n v="93"/>
    <n v="22"/>
  </r>
  <r>
    <x v="0"/>
    <n v="312"/>
    <n v="2"/>
    <n v="66"/>
    <n v="28"/>
  </r>
  <r>
    <x v="0"/>
    <n v="460"/>
    <n v="5"/>
    <n v="89"/>
    <n v="18"/>
  </r>
  <r>
    <x v="1"/>
    <n v="296"/>
    <n v="2"/>
    <n v="65"/>
    <n v="18"/>
  </r>
  <r>
    <x v="2"/>
    <n v="451"/>
    <n v="9"/>
    <n v="92"/>
    <n v="29"/>
  </r>
  <r>
    <x v="0"/>
    <n v="274"/>
    <n v="2"/>
    <n v="94"/>
    <n v="22"/>
  </r>
  <r>
    <x v="2"/>
    <n v="459"/>
    <n v="5"/>
    <n v="72"/>
    <n v="20"/>
  </r>
  <r>
    <x v="0"/>
    <n v="300"/>
    <n v="3"/>
    <n v="94"/>
    <n v="30"/>
  </r>
  <r>
    <x v="1"/>
    <n v="516"/>
    <n v="5"/>
    <n v="82"/>
    <n v="30"/>
  </r>
  <r>
    <x v="0"/>
    <n v="357"/>
    <n v="3"/>
    <n v="84"/>
    <n v="22"/>
  </r>
  <r>
    <x v="2"/>
    <n v="352"/>
    <n v="3"/>
    <n v="110"/>
    <n v="27"/>
  </r>
  <r>
    <x v="0"/>
    <n v="537"/>
    <n v="7"/>
    <n v="119"/>
    <n v="22"/>
  </r>
  <r>
    <x v="2"/>
    <n v="285"/>
    <n v="4"/>
    <n v="98"/>
    <n v="20"/>
  </r>
  <r>
    <x v="0"/>
    <n v="160"/>
    <n v="7"/>
    <n v="54"/>
    <n v="22"/>
  </r>
  <r>
    <x v="0"/>
    <n v="177"/>
    <n v="9"/>
    <n v="63"/>
    <n v="19"/>
  </r>
  <r>
    <x v="2"/>
    <n v="176"/>
    <n v="9"/>
    <n v="43"/>
    <n v="23"/>
  </r>
  <r>
    <x v="1"/>
    <n v="333"/>
    <n v="7"/>
    <n v="92"/>
    <n v="24"/>
  </r>
  <r>
    <x v="0"/>
    <n v="441"/>
    <n v="10"/>
    <n v="80"/>
    <n v="28"/>
  </r>
  <r>
    <x v="1"/>
    <n v="559"/>
    <n v="8"/>
    <n v="60"/>
    <n v="18"/>
  </r>
  <r>
    <x v="0"/>
    <n v="279"/>
    <n v="10"/>
    <n v="95"/>
    <n v="25"/>
  </r>
  <r>
    <x v="2"/>
    <n v="225"/>
    <n v="2"/>
    <n v="118"/>
    <n v="22"/>
  </r>
  <r>
    <x v="1"/>
    <n v="433"/>
    <n v="10"/>
    <n v="95"/>
    <n v="18"/>
  </r>
  <r>
    <x v="0"/>
    <n v="459"/>
    <n v="6"/>
    <n v="43"/>
    <n v="29"/>
  </r>
  <r>
    <x v="1"/>
    <n v="400"/>
    <n v="5"/>
    <n v="111"/>
    <n v="25"/>
  </r>
  <r>
    <x v="0"/>
    <n v="535"/>
    <n v="7"/>
    <n v="108"/>
    <n v="27"/>
  </r>
  <r>
    <x v="2"/>
    <n v="464"/>
    <n v="9"/>
    <n v="82"/>
    <n v="21"/>
  </r>
  <r>
    <x v="0"/>
    <n v="534"/>
    <n v="3"/>
    <n v="113"/>
    <n v="25"/>
  </r>
  <r>
    <x v="0"/>
    <n v="270"/>
    <n v="7"/>
    <n v="107"/>
    <n v="29"/>
  </r>
  <r>
    <x v="1"/>
    <n v="195"/>
    <n v="2"/>
    <n v="43"/>
    <n v="24"/>
  </r>
  <r>
    <x v="2"/>
    <n v="350"/>
    <n v="4"/>
    <n v="42"/>
    <n v="22"/>
  </r>
  <r>
    <x v="2"/>
    <n v="467"/>
    <n v="7"/>
    <n v="110"/>
    <n v="29"/>
  </r>
  <r>
    <x v="0"/>
    <n v="193"/>
    <n v="7"/>
    <n v="57"/>
    <n v="18"/>
  </r>
  <r>
    <x v="0"/>
    <n v="517"/>
    <n v="9"/>
    <n v="59"/>
    <n v="29"/>
  </r>
  <r>
    <x v="0"/>
    <n v="451"/>
    <n v="3"/>
    <n v="51"/>
    <n v="20"/>
  </r>
  <r>
    <x v="0"/>
    <n v="150"/>
    <n v="10"/>
    <n v="85"/>
    <n v="29"/>
  </r>
  <r>
    <x v="0"/>
    <n v="339"/>
    <n v="3"/>
    <n v="42"/>
    <n v="21"/>
  </r>
  <r>
    <x v="0"/>
    <n v="259"/>
    <n v="4"/>
    <n v="95"/>
    <n v="25"/>
  </r>
  <r>
    <x v="0"/>
    <n v="411"/>
    <n v="9"/>
    <n v="58"/>
    <n v="27"/>
  </r>
  <r>
    <x v="1"/>
    <n v="446"/>
    <n v="2"/>
    <n v="116"/>
    <n v="26"/>
  </r>
  <r>
    <x v="1"/>
    <n v="272"/>
    <n v="6"/>
    <n v="107"/>
    <n v="28"/>
  </r>
  <r>
    <x v="1"/>
    <n v="151"/>
    <n v="10"/>
    <n v="99"/>
    <n v="29"/>
  </r>
  <r>
    <x v="0"/>
    <n v="292"/>
    <n v="10"/>
    <n v="47"/>
    <n v="27"/>
  </r>
  <r>
    <x v="2"/>
    <n v="335"/>
    <n v="3"/>
    <n v="108"/>
    <n v="21"/>
  </r>
  <r>
    <x v="2"/>
    <n v="195"/>
    <n v="5"/>
    <n v="41"/>
    <n v="22"/>
  </r>
  <r>
    <x v="0"/>
    <n v="428"/>
    <n v="4"/>
    <n v="92"/>
    <n v="29"/>
  </r>
  <r>
    <x v="2"/>
    <n v="173"/>
    <n v="5"/>
    <n v="120"/>
    <n v="24"/>
  </r>
  <r>
    <x v="1"/>
    <n v="419"/>
    <n v="4"/>
    <n v="65"/>
    <n v="24"/>
  </r>
  <r>
    <x v="1"/>
    <n v="335"/>
    <n v="9"/>
    <n v="113"/>
    <n v="19"/>
  </r>
  <r>
    <x v="0"/>
    <n v="333"/>
    <n v="5"/>
    <n v="65"/>
    <n v="22"/>
  </r>
  <r>
    <x v="1"/>
    <n v="528"/>
    <n v="2"/>
    <n v="63"/>
    <n v="29"/>
  </r>
  <r>
    <x v="2"/>
    <n v="447"/>
    <n v="4"/>
    <n v="81"/>
    <n v="27"/>
  </r>
  <r>
    <x v="2"/>
    <n v="482"/>
    <n v="9"/>
    <n v="112"/>
    <n v="25"/>
  </r>
  <r>
    <x v="2"/>
    <n v="533"/>
    <n v="7"/>
    <n v="51"/>
    <n v="19"/>
  </r>
  <r>
    <x v="0"/>
    <n v="376"/>
    <n v="2"/>
    <n v="63"/>
    <n v="24"/>
  </r>
  <r>
    <x v="1"/>
    <n v="208"/>
    <n v="9"/>
    <n v="84"/>
    <n v="21"/>
  </r>
  <r>
    <x v="1"/>
    <n v="559"/>
    <n v="2"/>
    <n v="76"/>
    <n v="20"/>
  </r>
  <r>
    <x v="1"/>
    <n v="446"/>
    <n v="3"/>
    <n v="69"/>
    <n v="18"/>
  </r>
  <r>
    <x v="2"/>
    <n v="218"/>
    <n v="10"/>
    <n v="110"/>
    <n v="19"/>
  </r>
  <r>
    <x v="0"/>
    <n v="465"/>
    <n v="10"/>
    <n v="97"/>
    <n v="25"/>
  </r>
  <r>
    <x v="1"/>
    <n v="203"/>
    <n v="5"/>
    <n v="71"/>
    <n v="26"/>
  </r>
  <r>
    <x v="0"/>
    <n v="440"/>
    <n v="2"/>
    <n v="80"/>
    <n v="22"/>
  </r>
  <r>
    <x v="1"/>
    <n v="177"/>
    <n v="3"/>
    <n v="101"/>
    <n v="29"/>
  </r>
  <r>
    <x v="2"/>
    <n v="239"/>
    <n v="8"/>
    <n v="77"/>
    <n v="23"/>
  </r>
  <r>
    <x v="2"/>
    <n v="435"/>
    <n v="7"/>
    <n v="73"/>
    <n v="18"/>
  </r>
  <r>
    <x v="1"/>
    <n v="405"/>
    <n v="6"/>
    <n v="42"/>
    <n v="27"/>
  </r>
  <r>
    <x v="2"/>
    <n v="542"/>
    <n v="3"/>
    <n v="53"/>
    <n v="29"/>
  </r>
  <r>
    <x v="2"/>
    <n v="210"/>
    <n v="6"/>
    <n v="55"/>
    <n v="20"/>
  </r>
  <r>
    <x v="1"/>
    <n v="162"/>
    <n v="10"/>
    <n v="82"/>
    <n v="25"/>
  </r>
  <r>
    <x v="0"/>
    <n v="456"/>
    <n v="10"/>
    <n v="112"/>
    <n v="21"/>
  </r>
  <r>
    <x v="1"/>
    <n v="439"/>
    <n v="5"/>
    <n v="112"/>
    <n v="28"/>
  </r>
  <r>
    <x v="0"/>
    <n v="306"/>
    <n v="3"/>
    <n v="117"/>
    <n v="28"/>
  </r>
  <r>
    <x v="2"/>
    <n v="170"/>
    <n v="9"/>
    <n v="44"/>
    <n v="19"/>
  </r>
  <r>
    <x v="0"/>
    <n v="437"/>
    <n v="2"/>
    <n v="78"/>
    <n v="18"/>
  </r>
  <r>
    <x v="0"/>
    <n v="193"/>
    <n v="5"/>
    <n v="56"/>
    <n v="29"/>
  </r>
  <r>
    <x v="2"/>
    <n v="597"/>
    <n v="5"/>
    <n v="72"/>
    <n v="29"/>
  </r>
  <r>
    <x v="0"/>
    <n v="531"/>
    <n v="2"/>
    <n v="105"/>
    <n v="22"/>
  </r>
  <r>
    <x v="2"/>
    <n v="234"/>
    <n v="8"/>
    <n v="59"/>
    <n v="29"/>
  </r>
  <r>
    <x v="1"/>
    <n v="465"/>
    <n v="7"/>
    <n v="47"/>
    <n v="18"/>
  </r>
  <r>
    <x v="0"/>
    <n v="540"/>
    <n v="3"/>
    <n v="87"/>
    <n v="19"/>
  </r>
  <r>
    <x v="0"/>
    <n v="531"/>
    <n v="3"/>
    <n v="99"/>
    <n v="21"/>
  </r>
  <r>
    <x v="0"/>
    <n v="200"/>
    <n v="5"/>
    <n v="88"/>
    <n v="23"/>
  </r>
  <r>
    <x v="2"/>
    <n v="565"/>
    <n v="4"/>
    <n v="78"/>
    <n v="18"/>
  </r>
  <r>
    <x v="2"/>
    <n v="445"/>
    <n v="4"/>
    <n v="118"/>
    <n v="22"/>
  </r>
  <r>
    <x v="2"/>
    <n v="528"/>
    <n v="8"/>
    <n v="69"/>
    <n v="28"/>
  </r>
  <r>
    <x v="2"/>
    <n v="356"/>
    <n v="8"/>
    <n v="49"/>
    <n v="30"/>
  </r>
  <r>
    <x v="1"/>
    <n v="369"/>
    <n v="8"/>
    <n v="111"/>
    <n v="27"/>
  </r>
  <r>
    <x v="0"/>
    <n v="553"/>
    <n v="3"/>
    <n v="90"/>
    <n v="30"/>
  </r>
  <r>
    <x v="1"/>
    <n v="406"/>
    <n v="10"/>
    <n v="109"/>
    <n v="19"/>
  </r>
  <r>
    <x v="2"/>
    <n v="312"/>
    <n v="5"/>
    <n v="120"/>
    <n v="18"/>
  </r>
  <r>
    <x v="0"/>
    <n v="598"/>
    <n v="10"/>
    <n v="97"/>
    <n v="26"/>
  </r>
  <r>
    <x v="0"/>
    <n v="213"/>
    <n v="4"/>
    <n v="65"/>
    <n v="18"/>
  </r>
  <r>
    <x v="1"/>
    <n v="195"/>
    <n v="6"/>
    <n v="62"/>
    <n v="30"/>
  </r>
  <r>
    <x v="2"/>
    <n v="173"/>
    <n v="4"/>
    <n v="56"/>
    <n v="22"/>
  </r>
  <r>
    <x v="2"/>
    <n v="318"/>
    <n v="6"/>
    <n v="47"/>
    <n v="21"/>
  </r>
  <r>
    <x v="0"/>
    <n v="338"/>
    <n v="10"/>
    <n v="100"/>
    <n v="26"/>
  </r>
  <r>
    <x v="2"/>
    <n v="570"/>
    <n v="2"/>
    <n v="71"/>
    <n v="24"/>
  </r>
  <r>
    <x v="1"/>
    <n v="484"/>
    <n v="10"/>
    <n v="94"/>
    <n v="20"/>
  </r>
  <r>
    <x v="2"/>
    <n v="447"/>
    <n v="9"/>
    <n v="75"/>
    <n v="23"/>
  </r>
  <r>
    <x v="0"/>
    <n v="417"/>
    <n v="6"/>
    <n v="40"/>
    <n v="28"/>
  </r>
  <r>
    <x v="0"/>
    <n v="333"/>
    <n v="5"/>
    <n v="60"/>
    <n v="24"/>
  </r>
  <r>
    <x v="0"/>
    <n v="154"/>
    <n v="5"/>
    <n v="118"/>
    <n v="23"/>
  </r>
  <r>
    <x v="1"/>
    <n v="393"/>
    <n v="5"/>
    <n v="93"/>
    <n v="27"/>
  </r>
  <r>
    <x v="2"/>
    <n v="407"/>
    <n v="3"/>
    <n v="51"/>
    <n v="21"/>
  </r>
  <r>
    <x v="2"/>
    <n v="177"/>
    <n v="2"/>
    <n v="81"/>
    <n v="30"/>
  </r>
  <r>
    <x v="2"/>
    <n v="153"/>
    <n v="7"/>
    <n v="103"/>
    <n v="29"/>
  </r>
  <r>
    <x v="0"/>
    <n v="289"/>
    <n v="4"/>
    <n v="43"/>
    <n v="27"/>
  </r>
  <r>
    <x v="0"/>
    <n v="329"/>
    <n v="10"/>
    <n v="120"/>
    <n v="19"/>
  </r>
  <r>
    <x v="2"/>
    <n v="263"/>
    <n v="5"/>
    <n v="108"/>
    <n v="18"/>
  </r>
  <r>
    <x v="0"/>
    <n v="234"/>
    <n v="9"/>
    <n v="58"/>
    <n v="21"/>
  </r>
  <r>
    <x v="1"/>
    <n v="536"/>
    <n v="4"/>
    <n v="41"/>
    <n v="23"/>
  </r>
  <r>
    <x v="0"/>
    <n v="583"/>
    <n v="2"/>
    <n v="80"/>
    <n v="18"/>
  </r>
  <r>
    <x v="1"/>
    <n v="567"/>
    <n v="9"/>
    <n v="72"/>
    <n v="30"/>
  </r>
  <r>
    <x v="2"/>
    <n v="357"/>
    <n v="7"/>
    <n v="110"/>
    <n v="23"/>
  </r>
  <r>
    <x v="0"/>
    <n v="471"/>
    <n v="5"/>
    <n v="72"/>
    <n v="19"/>
  </r>
  <r>
    <x v="2"/>
    <n v="166"/>
    <n v="9"/>
    <n v="107"/>
    <n v="24"/>
  </r>
  <r>
    <x v="2"/>
    <n v="233"/>
    <n v="4"/>
    <n v="117"/>
    <n v="20"/>
  </r>
  <r>
    <x v="1"/>
    <n v="314"/>
    <n v="5"/>
    <n v="103"/>
    <n v="27"/>
  </r>
  <r>
    <x v="2"/>
    <n v="280"/>
    <n v="6"/>
    <n v="107"/>
    <n v="18"/>
  </r>
  <r>
    <x v="0"/>
    <n v="433"/>
    <n v="5"/>
    <n v="73"/>
    <n v="24"/>
  </r>
  <r>
    <x v="0"/>
    <n v="150"/>
    <n v="8"/>
    <n v="65"/>
    <n v="24"/>
  </r>
  <r>
    <x v="0"/>
    <n v="456"/>
    <n v="4"/>
    <n v="58"/>
    <n v="28"/>
  </r>
  <r>
    <x v="0"/>
    <n v="428"/>
    <n v="10"/>
    <n v="102"/>
    <n v="28"/>
  </r>
  <r>
    <x v="0"/>
    <n v="320"/>
    <n v="10"/>
    <n v="53"/>
    <n v="29"/>
  </r>
  <r>
    <x v="0"/>
    <n v="209"/>
    <n v="10"/>
    <n v="51"/>
    <n v="21"/>
  </r>
  <r>
    <x v="0"/>
    <n v="260"/>
    <n v="2"/>
    <n v="59"/>
    <n v="22"/>
  </r>
  <r>
    <x v="2"/>
    <n v="595"/>
    <n v="3"/>
    <n v="80"/>
    <n v="30"/>
  </r>
  <r>
    <x v="0"/>
    <n v="450"/>
    <n v="8"/>
    <n v="81"/>
    <n v="30"/>
  </r>
  <r>
    <x v="1"/>
    <n v="228"/>
    <n v="3"/>
    <n v="92"/>
    <n v="20"/>
  </r>
  <r>
    <x v="0"/>
    <n v="498"/>
    <n v="5"/>
    <n v="119"/>
    <n v="19"/>
  </r>
  <r>
    <x v="2"/>
    <n v="530"/>
    <n v="2"/>
    <n v="64"/>
    <n v="21"/>
  </r>
  <r>
    <x v="2"/>
    <n v="188"/>
    <n v="5"/>
    <n v="101"/>
    <n v="20"/>
  </r>
  <r>
    <x v="1"/>
    <n v="598"/>
    <n v="4"/>
    <n v="70"/>
    <n v="23"/>
  </r>
  <r>
    <x v="2"/>
    <n v="394"/>
    <n v="10"/>
    <n v="88"/>
    <n v="23"/>
  </r>
  <r>
    <x v="1"/>
    <n v="155"/>
    <n v="4"/>
    <n v="77"/>
    <n v="23"/>
  </r>
  <r>
    <x v="2"/>
    <n v="295"/>
    <n v="6"/>
    <n v="113"/>
    <n v="18"/>
  </r>
  <r>
    <x v="1"/>
    <n v="452"/>
    <n v="9"/>
    <n v="50"/>
    <n v="18"/>
  </r>
  <r>
    <x v="0"/>
    <n v="439"/>
    <n v="5"/>
    <n v="112"/>
    <n v="24"/>
  </r>
  <r>
    <x v="2"/>
    <n v="453"/>
    <n v="6"/>
    <n v="85"/>
    <n v="22"/>
  </r>
  <r>
    <x v="0"/>
    <n v="153"/>
    <n v="6"/>
    <n v="118"/>
    <n v="29"/>
  </r>
  <r>
    <x v="2"/>
    <n v="274"/>
    <n v="9"/>
    <n v="44"/>
    <n v="24"/>
  </r>
  <r>
    <x v="1"/>
    <n v="170"/>
    <n v="3"/>
    <n v="118"/>
    <n v="18"/>
  </r>
  <r>
    <x v="2"/>
    <n v="422"/>
    <n v="8"/>
    <n v="40"/>
    <n v="28"/>
  </r>
  <r>
    <x v="1"/>
    <n v="540"/>
    <n v="8"/>
    <n v="43"/>
    <n v="20"/>
  </r>
  <r>
    <x v="2"/>
    <n v="500"/>
    <n v="9"/>
    <n v="54"/>
    <n v="22"/>
  </r>
  <r>
    <x v="1"/>
    <n v="256"/>
    <n v="9"/>
    <n v="99"/>
    <n v="24"/>
  </r>
  <r>
    <x v="0"/>
    <n v="447"/>
    <n v="6"/>
    <n v="43"/>
    <n v="25"/>
  </r>
  <r>
    <x v="2"/>
    <n v="184"/>
    <n v="3"/>
    <n v="44"/>
    <n v="24"/>
  </r>
  <r>
    <x v="2"/>
    <n v="250"/>
    <n v="5"/>
    <n v="90"/>
    <n v="20"/>
  </r>
  <r>
    <x v="1"/>
    <n v="219"/>
    <n v="5"/>
    <n v="50"/>
    <n v="23"/>
  </r>
  <r>
    <x v="0"/>
    <n v="530"/>
    <n v="6"/>
    <n v="67"/>
    <n v="18"/>
  </r>
  <r>
    <x v="2"/>
    <n v="398"/>
    <n v="6"/>
    <n v="107"/>
    <n v="21"/>
  </r>
  <r>
    <x v="0"/>
    <n v="498"/>
    <n v="10"/>
    <n v="106"/>
    <n v="22"/>
  </r>
  <r>
    <x v="0"/>
    <n v="600"/>
    <n v="3"/>
    <n v="77"/>
    <n v="23"/>
  </r>
  <r>
    <x v="1"/>
    <n v="332"/>
    <n v="8"/>
    <n v="107"/>
    <n v="19"/>
  </r>
  <r>
    <x v="2"/>
    <n v="175"/>
    <n v="7"/>
    <n v="70"/>
    <n v="26"/>
  </r>
  <r>
    <x v="1"/>
    <n v="327"/>
    <n v="10"/>
    <n v="57"/>
    <n v="26"/>
  </r>
  <r>
    <x v="2"/>
    <n v="505"/>
    <n v="10"/>
    <n v="46"/>
    <n v="24"/>
  </r>
  <r>
    <x v="2"/>
    <n v="562"/>
    <n v="5"/>
    <n v="65"/>
    <n v="21"/>
  </r>
  <r>
    <x v="1"/>
    <n v="248"/>
    <n v="2"/>
    <n v="77"/>
    <n v="28"/>
  </r>
  <r>
    <x v="1"/>
    <n v="304"/>
    <n v="7"/>
    <n v="118"/>
    <n v="18"/>
  </r>
  <r>
    <x v="1"/>
    <n v="486"/>
    <n v="9"/>
    <n v="111"/>
    <n v="20"/>
  </r>
  <r>
    <x v="1"/>
    <n v="241"/>
    <n v="3"/>
    <n v="99"/>
    <n v="18"/>
  </r>
  <r>
    <x v="2"/>
    <n v="389"/>
    <n v="2"/>
    <n v="114"/>
    <n v="25"/>
  </r>
  <r>
    <x v="1"/>
    <n v="580"/>
    <n v="9"/>
    <n v="90"/>
    <n v="26"/>
  </r>
  <r>
    <x v="0"/>
    <n v="190"/>
    <n v="7"/>
    <n v="55"/>
    <n v="27"/>
  </r>
  <r>
    <x v="2"/>
    <n v="490"/>
    <n v="5"/>
    <n v="112"/>
    <n v="25"/>
  </r>
  <r>
    <x v="2"/>
    <n v="383"/>
    <n v="6"/>
    <n v="99"/>
    <n v="30"/>
  </r>
  <r>
    <x v="1"/>
    <n v="559"/>
    <n v="7"/>
    <n v="87"/>
    <n v="18"/>
  </r>
  <r>
    <x v="1"/>
    <n v="297"/>
    <n v="5"/>
    <n v="105"/>
    <n v="26"/>
  </r>
  <r>
    <x v="1"/>
    <n v="356"/>
    <n v="2"/>
    <n v="69"/>
    <n v="26"/>
  </r>
  <r>
    <x v="0"/>
    <n v="341"/>
    <n v="5"/>
    <n v="69"/>
    <n v="29"/>
  </r>
  <r>
    <x v="0"/>
    <n v="290"/>
    <n v="2"/>
    <n v="109"/>
    <n v="21"/>
  </r>
  <r>
    <x v="1"/>
    <n v="163"/>
    <n v="8"/>
    <n v="97"/>
    <n v="18"/>
  </r>
  <r>
    <x v="3"/>
    <m/>
    <m/>
    <m/>
    <m/>
  </r>
  <r>
    <x v="3"/>
    <m/>
    <m/>
    <m/>
    <m/>
  </r>
  <r>
    <x v="3"/>
    <m/>
    <m/>
    <m/>
    <m/>
  </r>
  <r>
    <x v="3"/>
    <m/>
    <m/>
    <m/>
    <m/>
  </r>
  <r>
    <x v="3"/>
    <m/>
    <m/>
    <m/>
    <m/>
  </r>
  <r>
    <x v="3"/>
    <m/>
    <m/>
    <m/>
    <m/>
  </r>
  <r>
    <x v="3"/>
    <m/>
    <m/>
    <m/>
    <m/>
  </r>
  <r>
    <x v="3"/>
    <m/>
    <m/>
    <m/>
    <m/>
  </r>
  <r>
    <x v="3"/>
    <m/>
    <m/>
    <m/>
    <m/>
  </r>
  <r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4197F-02C5-4456-AAFE-DAA675025EAF}" name="PivotTable2" cacheId="11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7" firstHeaderRow="1" firstDataRow="1" firstDataCol="1"/>
  <pivotFields count="2">
    <pivotField axis="axisRow" compact="0" outline="0" showAll="0">
      <items count="5">
        <item x="1"/>
        <item x="2"/>
        <item x="0"/>
        <item x="3"/>
        <item t="default"/>
      </items>
    </pivotField>
    <pivotField dataField="1" compact="0" outline="0" showAll="0">
      <items count="163">
        <item x="62"/>
        <item x="68"/>
        <item x="112"/>
        <item x="109"/>
        <item x="131"/>
        <item x="46"/>
        <item x="88"/>
        <item x="160"/>
        <item x="120"/>
        <item x="92"/>
        <item x="72"/>
        <item x="144"/>
        <item x="5"/>
        <item x="47"/>
        <item x="138"/>
        <item x="129"/>
        <item x="154"/>
        <item x="29"/>
        <item x="13"/>
        <item x="58"/>
        <item x="96"/>
        <item x="81"/>
        <item x="32"/>
        <item x="78"/>
        <item x="124"/>
        <item x="87"/>
        <item x="103"/>
        <item x="4"/>
        <item x="79"/>
        <item x="140"/>
        <item x="52"/>
        <item x="24"/>
        <item x="121"/>
        <item x="95"/>
        <item x="83"/>
        <item x="33"/>
        <item x="151"/>
        <item x="148"/>
        <item x="139"/>
        <item x="15"/>
        <item x="137"/>
        <item x="64"/>
        <item x="20"/>
        <item x="115"/>
        <item x="10"/>
        <item x="57"/>
        <item x="67"/>
        <item x="38"/>
        <item x="51"/>
        <item x="123"/>
        <item x="2"/>
        <item x="45"/>
        <item x="113"/>
        <item x="159"/>
        <item x="69"/>
        <item x="132"/>
        <item x="36"/>
        <item x="157"/>
        <item x="40"/>
        <item x="27"/>
        <item x="149"/>
        <item x="91"/>
        <item x="1"/>
        <item x="3"/>
        <item x="122"/>
        <item x="104"/>
        <item x="25"/>
        <item x="145"/>
        <item x="6"/>
        <item x="114"/>
        <item x="22"/>
        <item x="143"/>
        <item x="48"/>
        <item x="70"/>
        <item x="8"/>
        <item x="105"/>
        <item x="63"/>
        <item x="158"/>
        <item x="59"/>
        <item x="43"/>
        <item x="98"/>
        <item x="42"/>
        <item x="99"/>
        <item x="77"/>
        <item x="9"/>
        <item x="156"/>
        <item x="152"/>
        <item x="110"/>
        <item x="130"/>
        <item x="141"/>
        <item x="54"/>
        <item x="85"/>
        <item x="101"/>
        <item x="111"/>
        <item x="28"/>
        <item x="65"/>
        <item x="108"/>
        <item x="23"/>
        <item x="135"/>
        <item x="71"/>
        <item x="53"/>
        <item x="84"/>
        <item x="19"/>
        <item x="12"/>
        <item x="90"/>
        <item x="82"/>
        <item x="49"/>
        <item x="97"/>
        <item x="66"/>
        <item x="74"/>
        <item x="126"/>
        <item x="37"/>
        <item x="133"/>
        <item x="134"/>
        <item x="30"/>
        <item x="89"/>
        <item x="39"/>
        <item x="35"/>
        <item x="56"/>
        <item x="80"/>
        <item x="60"/>
        <item x="119"/>
        <item x="21"/>
        <item x="16"/>
        <item x="75"/>
        <item x="107"/>
        <item x="150"/>
        <item x="155"/>
        <item x="127"/>
        <item x="136"/>
        <item x="146"/>
        <item x="7"/>
        <item x="41"/>
        <item x="61"/>
        <item x="73"/>
        <item x="128"/>
        <item x="94"/>
        <item x="18"/>
        <item x="76"/>
        <item x="34"/>
        <item x="55"/>
        <item x="116"/>
        <item x="44"/>
        <item x="26"/>
        <item x="86"/>
        <item x="100"/>
        <item x="50"/>
        <item x="147"/>
        <item x="17"/>
        <item x="14"/>
        <item x="118"/>
        <item x="106"/>
        <item x="0"/>
        <item x="153"/>
        <item x="11"/>
        <item x="117"/>
        <item x="31"/>
        <item x="125"/>
        <item x="93"/>
        <item x="102"/>
        <item x="142"/>
        <item x="16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00EFD-747D-42AE-93D3-194AC304A115}" name="PivotTable1" cacheId="1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7" firstHeaderRow="0" firstDataRow="1" firstDataCol="1"/>
  <pivotFields count="5"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abor Hours" fld="3" baseField="0" baseItem="0"/>
    <dataField name="Average of Hourly Rate" fld="4" subtotal="average" baseField="0" baseItem="0"/>
  </dataFields>
  <formats count="2">
    <format dxfId="15">
      <pivotArea outline="0" fieldPosition="0">
        <references count="2">
          <reference field="4294967294" count="1" selected="0">
            <x v="1"/>
          </reference>
          <reference field="0" count="3" selected="0">
            <x v="0"/>
            <x v="1"/>
            <x v="2"/>
          </reference>
        </references>
      </pivotArea>
    </format>
    <format dxfId="16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C025B-C89C-4F38-8D13-8B163DEB1393}" name="Table1" displayName="Table1" ref="A1:G210" totalsRowShown="0" headerRowDxfId="14" headerRowBorderDxfId="12" tableBorderDxfId="13">
  <autoFilter ref="A1:G210" xr:uid="{28CC025B-C89C-4F38-8D13-8B163DEB1393}"/>
  <tableColumns count="7">
    <tableColumn id="1" xr3:uid="{711AFCCF-EB16-4415-A9D3-4F471BDE8BA7}" name="Date" dataDxfId="11"/>
    <tableColumn id="2" xr3:uid="{4EAB5C47-53B7-441C-B65D-E3BF7E6E423C}" name="Shift" dataDxfId="10">
      <calculatedColumnFormula>RANDBETWEEN(1,3)</calculatedColumnFormula>
    </tableColumn>
    <tableColumn id="3" xr3:uid="{1EFEEC5B-9084-4C18-BF35-5BE1D740E26A}" name="Orders"/>
    <tableColumn id="4" xr3:uid="{AE30EB5F-63E1-44AE-8E34-C4C7D67991D0}" name="Units Shipped"/>
    <tableColumn id="5" xr3:uid="{F69DFC60-EB92-4831-87A2-5A02D0B4DDA5}" name="Labor Hours"/>
    <tableColumn id="6" xr3:uid="{4B6F3953-2746-4539-83E8-B72070C07D07}" name="Hourly Rate"/>
    <tableColumn id="7" xr3:uid="{601492C7-2BEC-464E-8F72-9F4C46AACDF9}" name="Overtime Hou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047E6-481D-4007-8080-2C6C2BC42FC9}" name="Table2" displayName="Table2" ref="H1:Q210" totalsRowShown="0" headerRowBorderDxfId="8" tableBorderDxfId="9">
  <autoFilter ref="H1:Q210" xr:uid="{4EE047E6-481D-4007-8080-2C6C2BC42FC9}"/>
  <tableColumns count="10">
    <tableColumn id="1" xr3:uid="{017D135D-2F57-4BA1-BB1E-CF63331890D7}" name="Shipping Costs"/>
    <tableColumn id="2" xr3:uid="{2913A59F-1D71-4C1B-AF8D-F55949C89453}" name="SKU Count"/>
    <tableColumn id="3" xr3:uid="{D69CBAED-1E21-4C3B-88E6-9597203FC561}" name="Units Per Labor Hour" dataDxfId="7">
      <calculatedColumnFormula>D2/E2</calculatedColumnFormula>
    </tableColumn>
    <tableColumn id="4" xr3:uid="{38B99CAF-0A4F-4FFA-BF37-81F6166C3736}" name="Orders Per Labor Hour" dataDxfId="6">
      <calculatedColumnFormula>C2 / E2</calculatedColumnFormula>
    </tableColumn>
    <tableColumn id="5" xr3:uid="{692AF1FE-7C6C-4191-B5A5-13E7B7CABE37}" name="Avg Units Per Order" dataDxfId="5">
      <calculatedColumnFormula>D2 / C2</calculatedColumnFormula>
    </tableColumn>
    <tableColumn id="6" xr3:uid="{BAB405A6-B422-401D-951E-42C20DF50EF4}" name="Reg Labor Cost" dataDxfId="4">
      <calculatedColumnFormula>E2 * F2</calculatedColumnFormula>
    </tableColumn>
    <tableColumn id="7" xr3:uid="{03E5CA92-F0FF-4D14-8A75-839A35B55C92}" name="Overtime Costs" dataDxfId="3">
      <calculatedColumnFormula>G2 * F2 * 1.5</calculatedColumnFormula>
    </tableColumn>
    <tableColumn id="8" xr3:uid="{3F6B6D58-477B-42F8-AF7B-095210BAA155}" name="Total Labor Costs" dataDxfId="2">
      <calculatedColumnFormula>M2 + N2</calculatedColumnFormula>
    </tableColumn>
    <tableColumn id="9" xr3:uid="{3DC290E4-3768-4D29-A5C4-D9EDA1EFBB01}" name="Cost Per Order" dataDxfId="1">
      <calculatedColumnFormula>O2 / C2</calculatedColumnFormula>
    </tableColumn>
    <tableColumn id="10" xr3:uid="{F407B0CF-DF9F-4340-BF41-BDEA7F4E9F84}" name="Productivity Varia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9"/>
  <sheetViews>
    <sheetView tabSelected="1" workbookViewId="0">
      <selection activeCell="B1" sqref="B1:F1048576"/>
    </sheetView>
  </sheetViews>
  <sheetFormatPr defaultRowHeight="15"/>
  <cols>
    <col min="1" max="1" width="12.42578125" customWidth="1"/>
    <col min="2" max="2" width="7.140625" bestFit="1" customWidth="1"/>
    <col min="4" max="4" width="15.28515625" bestFit="1" customWidth="1"/>
    <col min="5" max="5" width="13.7109375" bestFit="1" customWidth="1"/>
    <col min="6" max="6" width="14.7109375" bestFit="1" customWidth="1"/>
    <col min="7" max="7" width="17" bestFit="1" customWidth="1"/>
    <col min="8" max="8" width="15.7109375" bestFit="1" customWidth="1"/>
    <col min="9" max="9" width="12.28515625" bestFit="1" customWidth="1"/>
    <col min="10" max="10" width="21.28515625" style="7" bestFit="1" customWidth="1"/>
    <col min="11" max="11" width="22.7109375" style="9" bestFit="1" customWidth="1"/>
    <col min="12" max="12" width="20.42578125" style="9" bestFit="1" customWidth="1"/>
    <col min="13" max="13" width="16.140625" style="17" bestFit="1" customWidth="1"/>
    <col min="14" max="14" width="16.42578125" style="17" bestFit="1" customWidth="1"/>
    <col min="15" max="15" width="18.140625" style="17" bestFit="1" customWidth="1"/>
    <col min="16" max="16" width="16" style="17" bestFit="1" customWidth="1"/>
    <col min="17" max="17" width="21.7109375" bestFit="1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10" t="s">
        <v>9</v>
      </c>
      <c r="K1" s="11" t="s">
        <v>10</v>
      </c>
      <c r="L1" s="12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3" t="s">
        <v>16</v>
      </c>
    </row>
    <row r="2" spans="1:17">
      <c r="A2" s="2">
        <v>45836</v>
      </c>
      <c r="B2" s="1">
        <f ca="1">RANDBETWEEN(1,3)</f>
        <v>2</v>
      </c>
      <c r="C2">
        <v>571</v>
      </c>
      <c r="D2">
        <v>7</v>
      </c>
      <c r="E2">
        <v>47</v>
      </c>
      <c r="F2">
        <v>22</v>
      </c>
      <c r="G2">
        <v>8</v>
      </c>
      <c r="J2" s="8">
        <f>D2/E2</f>
        <v>0.14893617021276595</v>
      </c>
      <c r="K2" s="8">
        <f>C2 / E2</f>
        <v>12.148936170212766</v>
      </c>
      <c r="L2" s="8">
        <f>D2 / C2</f>
        <v>1.2259194395796848E-2</v>
      </c>
      <c r="M2" s="14">
        <f t="shared" ref="M2:M65" si="0">E2 * F2</f>
        <v>1034</v>
      </c>
      <c r="N2" s="14">
        <f t="shared" ref="N2:N65" si="1">G2 * F2 * 1.5</f>
        <v>264</v>
      </c>
      <c r="O2" s="14">
        <f t="shared" ref="O2:O65" si="2">M2 + N2</f>
        <v>1298</v>
      </c>
      <c r="P2" s="14">
        <f t="shared" ref="P2:P65" si="3">O2 / C2</f>
        <v>2.2732049036777582</v>
      </c>
      <c r="Q2" s="14"/>
    </row>
    <row r="3" spans="1:17">
      <c r="A3" s="2">
        <v>45821</v>
      </c>
      <c r="B3" s="1">
        <f t="shared" ref="B3:B66" ca="1" si="4">RANDBETWEEN(1,3)</f>
        <v>2</v>
      </c>
      <c r="C3">
        <v>312</v>
      </c>
      <c r="D3">
        <v>8</v>
      </c>
      <c r="E3">
        <v>48</v>
      </c>
      <c r="F3">
        <v>23</v>
      </c>
      <c r="G3">
        <v>7</v>
      </c>
      <c r="J3" s="8">
        <f t="shared" ref="J3:J66" si="5">D3/E3</f>
        <v>0.16666666666666666</v>
      </c>
      <c r="K3" s="8">
        <f t="shared" ref="K3:K66" si="6">C3 / E3</f>
        <v>6.5</v>
      </c>
      <c r="L3" s="8">
        <f t="shared" ref="L3:L66" si="7">D3 / C3</f>
        <v>2.564102564102564E-2</v>
      </c>
      <c r="M3" s="15">
        <f t="shared" si="0"/>
        <v>1104</v>
      </c>
      <c r="N3" s="15">
        <f t="shared" si="1"/>
        <v>241.5</v>
      </c>
      <c r="O3" s="15">
        <f t="shared" si="2"/>
        <v>1345.5</v>
      </c>
      <c r="P3" s="15">
        <f t="shared" si="3"/>
        <v>4.3125</v>
      </c>
      <c r="Q3" s="15"/>
    </row>
    <row r="4" spans="1:17">
      <c r="A4" s="2">
        <v>45775</v>
      </c>
      <c r="B4" s="1">
        <f t="shared" ca="1" si="4"/>
        <v>1</v>
      </c>
      <c r="C4">
        <v>284</v>
      </c>
      <c r="D4">
        <v>3</v>
      </c>
      <c r="E4">
        <v>66</v>
      </c>
      <c r="F4">
        <v>24</v>
      </c>
      <c r="G4">
        <v>5</v>
      </c>
      <c r="J4" s="8">
        <f t="shared" si="5"/>
        <v>4.5454545454545456E-2</v>
      </c>
      <c r="K4" s="8">
        <f t="shared" si="6"/>
        <v>4.3030303030303028</v>
      </c>
      <c r="L4" s="8">
        <f t="shared" si="7"/>
        <v>1.0563380281690141E-2</v>
      </c>
      <c r="M4" s="15">
        <f t="shared" si="0"/>
        <v>1584</v>
      </c>
      <c r="N4" s="15">
        <f t="shared" si="1"/>
        <v>180</v>
      </c>
      <c r="O4" s="15">
        <f t="shared" si="2"/>
        <v>1764</v>
      </c>
      <c r="P4" s="15">
        <f t="shared" si="3"/>
        <v>6.211267605633803</v>
      </c>
      <c r="Q4" s="15"/>
    </row>
    <row r="5" spans="1:17">
      <c r="A5" s="2">
        <v>45798</v>
      </c>
      <c r="B5" s="1">
        <f t="shared" ca="1" si="4"/>
        <v>2</v>
      </c>
      <c r="C5">
        <v>313</v>
      </c>
      <c r="D5">
        <v>2</v>
      </c>
      <c r="E5">
        <v>40</v>
      </c>
      <c r="F5">
        <v>19</v>
      </c>
      <c r="G5">
        <v>10</v>
      </c>
      <c r="J5" s="8">
        <f t="shared" si="5"/>
        <v>0.05</v>
      </c>
      <c r="K5" s="8">
        <f t="shared" si="6"/>
        <v>7.8250000000000002</v>
      </c>
      <c r="L5" s="8">
        <f t="shared" si="7"/>
        <v>6.3897763578274758E-3</v>
      </c>
      <c r="M5" s="15">
        <f t="shared" si="0"/>
        <v>760</v>
      </c>
      <c r="N5" s="15">
        <f t="shared" si="1"/>
        <v>285</v>
      </c>
      <c r="O5" s="15">
        <f t="shared" si="2"/>
        <v>1045</v>
      </c>
      <c r="P5" s="15">
        <f t="shared" si="3"/>
        <v>3.3386581469648564</v>
      </c>
      <c r="Q5" s="15"/>
    </row>
    <row r="6" spans="1:17">
      <c r="A6" s="2">
        <v>45768</v>
      </c>
      <c r="B6" s="1">
        <f t="shared" ca="1" si="4"/>
        <v>3</v>
      </c>
      <c r="C6">
        <v>216</v>
      </c>
      <c r="D6">
        <v>3</v>
      </c>
      <c r="E6">
        <v>59</v>
      </c>
      <c r="F6">
        <v>18</v>
      </c>
      <c r="G6">
        <v>9</v>
      </c>
      <c r="J6" s="8">
        <f t="shared" si="5"/>
        <v>5.0847457627118647E-2</v>
      </c>
      <c r="K6" s="8">
        <f t="shared" si="6"/>
        <v>3.6610169491525424</v>
      </c>
      <c r="L6" s="8">
        <f t="shared" si="7"/>
        <v>1.3888888888888888E-2</v>
      </c>
      <c r="M6" s="15">
        <f t="shared" si="0"/>
        <v>1062</v>
      </c>
      <c r="N6" s="15">
        <f t="shared" si="1"/>
        <v>243</v>
      </c>
      <c r="O6" s="15">
        <f t="shared" si="2"/>
        <v>1305</v>
      </c>
      <c r="P6" s="15">
        <f t="shared" si="3"/>
        <v>6.041666666666667</v>
      </c>
      <c r="Q6" s="15"/>
    </row>
    <row r="7" spans="1:17">
      <c r="A7" s="2">
        <v>45975</v>
      </c>
      <c r="B7" s="1">
        <f t="shared" ca="1" si="4"/>
        <v>1</v>
      </c>
      <c r="C7">
        <v>176</v>
      </c>
      <c r="D7">
        <v>7</v>
      </c>
      <c r="E7">
        <v>45</v>
      </c>
      <c r="F7">
        <v>25</v>
      </c>
      <c r="G7">
        <v>7</v>
      </c>
      <c r="J7" s="8">
        <f t="shared" si="5"/>
        <v>0.15555555555555556</v>
      </c>
      <c r="K7" s="8">
        <f t="shared" si="6"/>
        <v>3.911111111111111</v>
      </c>
      <c r="L7" s="8">
        <f t="shared" si="7"/>
        <v>3.9772727272727272E-2</v>
      </c>
      <c r="M7" s="15">
        <f t="shared" si="0"/>
        <v>1125</v>
      </c>
      <c r="N7" s="15">
        <f t="shared" si="1"/>
        <v>262.5</v>
      </c>
      <c r="O7" s="15">
        <f t="shared" si="2"/>
        <v>1387.5</v>
      </c>
      <c r="P7" s="15">
        <f t="shared" si="3"/>
        <v>7.8835227272727275</v>
      </c>
      <c r="Q7" s="15"/>
    </row>
    <row r="8" spans="1:17">
      <c r="A8" s="2">
        <v>45889</v>
      </c>
      <c r="B8" s="1">
        <f t="shared" ca="1" si="4"/>
        <v>1</v>
      </c>
      <c r="C8">
        <v>328</v>
      </c>
      <c r="D8">
        <v>6</v>
      </c>
      <c r="E8">
        <v>76</v>
      </c>
      <c r="F8">
        <v>25</v>
      </c>
      <c r="G8">
        <v>10</v>
      </c>
      <c r="J8" s="8">
        <f t="shared" si="5"/>
        <v>7.8947368421052627E-2</v>
      </c>
      <c r="K8" s="8">
        <f t="shared" si="6"/>
        <v>4.3157894736842106</v>
      </c>
      <c r="L8" s="8">
        <f t="shared" si="7"/>
        <v>1.8292682926829267E-2</v>
      </c>
      <c r="M8" s="15">
        <f t="shared" si="0"/>
        <v>1900</v>
      </c>
      <c r="N8" s="15">
        <f t="shared" si="1"/>
        <v>375</v>
      </c>
      <c r="O8" s="15">
        <f t="shared" si="2"/>
        <v>2275</v>
      </c>
      <c r="P8" s="15">
        <f t="shared" si="3"/>
        <v>6.9359756097560972</v>
      </c>
      <c r="Q8" s="15"/>
    </row>
    <row r="9" spans="1:17">
      <c r="A9" s="2">
        <v>45948</v>
      </c>
      <c r="B9" s="1">
        <f t="shared" ca="1" si="4"/>
        <v>1</v>
      </c>
      <c r="C9">
        <v>515</v>
      </c>
      <c r="D9">
        <v>6</v>
      </c>
      <c r="E9">
        <v>70</v>
      </c>
      <c r="F9">
        <v>18</v>
      </c>
      <c r="G9">
        <v>9</v>
      </c>
      <c r="J9" s="8">
        <f t="shared" si="5"/>
        <v>8.5714285714285715E-2</v>
      </c>
      <c r="K9" s="8">
        <f t="shared" si="6"/>
        <v>7.3571428571428568</v>
      </c>
      <c r="L9" s="8">
        <f t="shared" si="7"/>
        <v>1.1650485436893204E-2</v>
      </c>
      <c r="M9" s="15">
        <f t="shared" si="0"/>
        <v>1260</v>
      </c>
      <c r="N9" s="15">
        <f t="shared" si="1"/>
        <v>243</v>
      </c>
      <c r="O9" s="15">
        <f t="shared" si="2"/>
        <v>1503</v>
      </c>
      <c r="P9" s="15">
        <f t="shared" si="3"/>
        <v>2.9184466019417474</v>
      </c>
      <c r="Q9" s="15"/>
    </row>
    <row r="10" spans="1:17">
      <c r="A10" s="2">
        <v>45750</v>
      </c>
      <c r="B10" s="1">
        <f t="shared" ca="1" si="4"/>
        <v>1</v>
      </c>
      <c r="C10">
        <v>336</v>
      </c>
      <c r="D10">
        <v>6</v>
      </c>
      <c r="E10">
        <v>111</v>
      </c>
      <c r="F10">
        <v>24</v>
      </c>
      <c r="G10">
        <v>5</v>
      </c>
      <c r="J10" s="8">
        <f t="shared" si="5"/>
        <v>5.4054054054054057E-2</v>
      </c>
      <c r="K10" s="8">
        <f t="shared" si="6"/>
        <v>3.0270270270270272</v>
      </c>
      <c r="L10" s="8">
        <f t="shared" si="7"/>
        <v>1.7857142857142856E-2</v>
      </c>
      <c r="M10" s="15">
        <f t="shared" si="0"/>
        <v>2664</v>
      </c>
      <c r="N10" s="15">
        <f t="shared" si="1"/>
        <v>180</v>
      </c>
      <c r="O10" s="15">
        <f t="shared" si="2"/>
        <v>2844</v>
      </c>
      <c r="P10" s="15">
        <f t="shared" si="3"/>
        <v>8.4642857142857135</v>
      </c>
      <c r="Q10" s="15"/>
    </row>
    <row r="11" spans="1:17">
      <c r="A11" s="2">
        <v>46000</v>
      </c>
      <c r="B11" s="1">
        <f t="shared" ca="1" si="4"/>
        <v>1</v>
      </c>
      <c r="C11">
        <v>380</v>
      </c>
      <c r="D11">
        <v>3</v>
      </c>
      <c r="E11">
        <v>83</v>
      </c>
      <c r="F11">
        <v>29</v>
      </c>
      <c r="G11">
        <v>5</v>
      </c>
      <c r="J11" s="8">
        <f t="shared" si="5"/>
        <v>3.614457831325301E-2</v>
      </c>
      <c r="K11" s="8">
        <f t="shared" si="6"/>
        <v>4.5783132530120483</v>
      </c>
      <c r="L11" s="8">
        <f t="shared" si="7"/>
        <v>7.8947368421052634E-3</v>
      </c>
      <c r="M11" s="15">
        <f t="shared" si="0"/>
        <v>2407</v>
      </c>
      <c r="N11" s="15">
        <f t="shared" si="1"/>
        <v>217.5</v>
      </c>
      <c r="O11" s="15">
        <f t="shared" si="2"/>
        <v>2624.5</v>
      </c>
      <c r="P11" s="15">
        <f t="shared" si="3"/>
        <v>6.9065789473684207</v>
      </c>
      <c r="Q11" s="15"/>
    </row>
    <row r="12" spans="1:17">
      <c r="A12" s="2">
        <v>45662</v>
      </c>
      <c r="B12" s="1">
        <f t="shared" ca="1" si="4"/>
        <v>1</v>
      </c>
      <c r="C12">
        <v>268</v>
      </c>
      <c r="D12">
        <v>10</v>
      </c>
      <c r="E12">
        <v>81</v>
      </c>
      <c r="F12">
        <v>18</v>
      </c>
      <c r="G12">
        <v>9</v>
      </c>
      <c r="J12" s="8">
        <f t="shared" si="5"/>
        <v>0.12345679012345678</v>
      </c>
      <c r="K12" s="8">
        <f t="shared" si="6"/>
        <v>3.308641975308642</v>
      </c>
      <c r="L12" s="8">
        <f t="shared" si="7"/>
        <v>3.7313432835820892E-2</v>
      </c>
      <c r="M12" s="15">
        <f t="shared" si="0"/>
        <v>1458</v>
      </c>
      <c r="N12" s="15">
        <f t="shared" si="1"/>
        <v>243</v>
      </c>
      <c r="O12" s="15">
        <f t="shared" si="2"/>
        <v>1701</v>
      </c>
      <c r="P12" s="15">
        <f t="shared" si="3"/>
        <v>6.3470149253731343</v>
      </c>
      <c r="Q12" s="15"/>
    </row>
    <row r="13" spans="1:17">
      <c r="A13" s="2">
        <v>45948</v>
      </c>
      <c r="B13" s="1">
        <f t="shared" ca="1" si="4"/>
        <v>3</v>
      </c>
      <c r="C13">
        <v>581</v>
      </c>
      <c r="D13">
        <v>8</v>
      </c>
      <c r="E13">
        <v>101</v>
      </c>
      <c r="F13">
        <v>22</v>
      </c>
      <c r="G13">
        <v>8</v>
      </c>
      <c r="J13" s="8">
        <f t="shared" si="5"/>
        <v>7.9207920792079209E-2</v>
      </c>
      <c r="K13" s="8">
        <f t="shared" si="6"/>
        <v>5.7524752475247523</v>
      </c>
      <c r="L13" s="8">
        <f t="shared" si="7"/>
        <v>1.3769363166953529E-2</v>
      </c>
      <c r="M13" s="15">
        <f t="shared" si="0"/>
        <v>2222</v>
      </c>
      <c r="N13" s="15">
        <f t="shared" si="1"/>
        <v>264</v>
      </c>
      <c r="O13" s="15">
        <f t="shared" si="2"/>
        <v>2486</v>
      </c>
      <c r="P13" s="15">
        <f t="shared" si="3"/>
        <v>4.2788296041308094</v>
      </c>
      <c r="Q13" s="15"/>
    </row>
    <row r="14" spans="1:17">
      <c r="A14" s="2">
        <v>45941</v>
      </c>
      <c r="B14" s="1">
        <f t="shared" ca="1" si="4"/>
        <v>3</v>
      </c>
      <c r="C14">
        <v>438</v>
      </c>
      <c r="D14">
        <v>8</v>
      </c>
      <c r="E14">
        <v>73</v>
      </c>
      <c r="F14">
        <v>25</v>
      </c>
      <c r="G14">
        <v>8</v>
      </c>
      <c r="J14" s="8">
        <f t="shared" si="5"/>
        <v>0.1095890410958904</v>
      </c>
      <c r="K14" s="8">
        <f t="shared" si="6"/>
        <v>6</v>
      </c>
      <c r="L14" s="8">
        <f t="shared" si="7"/>
        <v>1.8264840182648401E-2</v>
      </c>
      <c r="M14" s="15">
        <f t="shared" si="0"/>
        <v>1825</v>
      </c>
      <c r="N14" s="15">
        <f t="shared" si="1"/>
        <v>300</v>
      </c>
      <c r="O14" s="15">
        <f t="shared" si="2"/>
        <v>2125</v>
      </c>
      <c r="P14" s="15">
        <f t="shared" si="3"/>
        <v>4.8515981735159821</v>
      </c>
      <c r="Q14" s="15"/>
    </row>
    <row r="15" spans="1:17">
      <c r="A15" s="2">
        <v>45962</v>
      </c>
      <c r="B15" s="1">
        <f t="shared" ca="1" si="4"/>
        <v>3</v>
      </c>
      <c r="C15">
        <v>193</v>
      </c>
      <c r="D15">
        <v>8</v>
      </c>
      <c r="E15">
        <v>63</v>
      </c>
      <c r="F15">
        <v>22</v>
      </c>
      <c r="G15">
        <v>5</v>
      </c>
      <c r="J15" s="8">
        <f t="shared" si="5"/>
        <v>0.12698412698412698</v>
      </c>
      <c r="K15" s="8">
        <f t="shared" si="6"/>
        <v>3.0634920634920637</v>
      </c>
      <c r="L15" s="8">
        <f t="shared" si="7"/>
        <v>4.145077720207254E-2</v>
      </c>
      <c r="M15" s="15">
        <f t="shared" si="0"/>
        <v>1386</v>
      </c>
      <c r="N15" s="15">
        <f t="shared" si="1"/>
        <v>165</v>
      </c>
      <c r="O15" s="15">
        <f t="shared" si="2"/>
        <v>1551</v>
      </c>
      <c r="P15" s="15">
        <f t="shared" si="3"/>
        <v>8.0362694300518136</v>
      </c>
      <c r="Q15" s="15"/>
    </row>
    <row r="16" spans="1:17">
      <c r="A16" s="2">
        <v>45911</v>
      </c>
      <c r="B16" s="1">
        <f t="shared" ca="1" si="4"/>
        <v>1</v>
      </c>
      <c r="C16">
        <v>565</v>
      </c>
      <c r="D16">
        <v>5</v>
      </c>
      <c r="E16">
        <v>71</v>
      </c>
      <c r="F16">
        <v>22</v>
      </c>
      <c r="G16">
        <v>6</v>
      </c>
      <c r="J16" s="8">
        <f t="shared" si="5"/>
        <v>7.0422535211267609E-2</v>
      </c>
      <c r="K16" s="8">
        <f t="shared" si="6"/>
        <v>7.957746478873239</v>
      </c>
      <c r="L16" s="8">
        <f t="shared" si="7"/>
        <v>8.8495575221238937E-3</v>
      </c>
      <c r="M16" s="15">
        <f t="shared" si="0"/>
        <v>1562</v>
      </c>
      <c r="N16" s="15">
        <f t="shared" si="1"/>
        <v>198</v>
      </c>
      <c r="O16" s="15">
        <f t="shared" si="2"/>
        <v>1760</v>
      </c>
      <c r="P16" s="15">
        <f t="shared" si="3"/>
        <v>3.1150442477876106</v>
      </c>
      <c r="Q16" s="15"/>
    </row>
    <row r="17" spans="1:17">
      <c r="A17" s="2">
        <v>45931</v>
      </c>
      <c r="B17" s="1">
        <f t="shared" ca="1" si="4"/>
        <v>1</v>
      </c>
      <c r="C17">
        <v>251</v>
      </c>
      <c r="D17">
        <v>3</v>
      </c>
      <c r="E17">
        <v>98</v>
      </c>
      <c r="F17">
        <v>25</v>
      </c>
      <c r="G17">
        <v>10</v>
      </c>
      <c r="J17" s="8">
        <f t="shared" si="5"/>
        <v>3.0612244897959183E-2</v>
      </c>
      <c r="K17" s="8">
        <f t="shared" si="6"/>
        <v>2.5612244897959182</v>
      </c>
      <c r="L17" s="8">
        <f t="shared" si="7"/>
        <v>1.1952191235059761E-2</v>
      </c>
      <c r="M17" s="15">
        <f t="shared" si="0"/>
        <v>2450</v>
      </c>
      <c r="N17" s="15">
        <f t="shared" si="1"/>
        <v>375</v>
      </c>
      <c r="O17" s="15">
        <f t="shared" si="2"/>
        <v>2825</v>
      </c>
      <c r="P17" s="15">
        <f t="shared" si="3"/>
        <v>11.254980079681275</v>
      </c>
      <c r="Q17" s="15"/>
    </row>
    <row r="18" spans="1:17">
      <c r="A18" s="2">
        <v>45690</v>
      </c>
      <c r="B18" s="1">
        <f t="shared" ca="1" si="4"/>
        <v>3</v>
      </c>
      <c r="C18">
        <v>476</v>
      </c>
      <c r="D18">
        <v>9</v>
      </c>
      <c r="E18">
        <v>120</v>
      </c>
      <c r="F18">
        <v>18</v>
      </c>
      <c r="G18">
        <v>7</v>
      </c>
      <c r="J18" s="8">
        <f t="shared" si="5"/>
        <v>7.4999999999999997E-2</v>
      </c>
      <c r="K18" s="8">
        <f t="shared" si="6"/>
        <v>3.9666666666666668</v>
      </c>
      <c r="L18" s="8">
        <f t="shared" si="7"/>
        <v>1.8907563025210083E-2</v>
      </c>
      <c r="M18" s="15">
        <f t="shared" si="0"/>
        <v>2160</v>
      </c>
      <c r="N18" s="15">
        <f t="shared" si="1"/>
        <v>189</v>
      </c>
      <c r="O18" s="15">
        <f t="shared" si="2"/>
        <v>2349</v>
      </c>
      <c r="P18" s="15">
        <f t="shared" si="3"/>
        <v>4.9348739495798322</v>
      </c>
      <c r="Q18" s="15"/>
    </row>
    <row r="19" spans="1:17">
      <c r="A19" s="2">
        <v>45822</v>
      </c>
      <c r="B19" s="1">
        <f t="shared" ca="1" si="4"/>
        <v>2</v>
      </c>
      <c r="C19">
        <v>563</v>
      </c>
      <c r="D19">
        <v>2</v>
      </c>
      <c r="E19">
        <v>84</v>
      </c>
      <c r="F19">
        <v>25</v>
      </c>
      <c r="G19">
        <v>9</v>
      </c>
      <c r="J19" s="8">
        <f t="shared" si="5"/>
        <v>2.3809523809523808E-2</v>
      </c>
      <c r="K19" s="8">
        <f t="shared" si="6"/>
        <v>6.7023809523809526</v>
      </c>
      <c r="L19" s="8">
        <f t="shared" si="7"/>
        <v>3.552397868561279E-3</v>
      </c>
      <c r="M19" s="15">
        <f t="shared" si="0"/>
        <v>2100</v>
      </c>
      <c r="N19" s="15">
        <f t="shared" si="1"/>
        <v>337.5</v>
      </c>
      <c r="O19" s="15">
        <f t="shared" si="2"/>
        <v>2437.5</v>
      </c>
      <c r="P19" s="15">
        <f t="shared" si="3"/>
        <v>4.3294849023090585</v>
      </c>
      <c r="Q19" s="15"/>
    </row>
    <row r="20" spans="1:17">
      <c r="A20" s="2">
        <v>45812</v>
      </c>
      <c r="B20" s="1">
        <f t="shared" ca="1" si="4"/>
        <v>2</v>
      </c>
      <c r="C20">
        <v>532</v>
      </c>
      <c r="D20">
        <v>7</v>
      </c>
      <c r="E20">
        <v>84</v>
      </c>
      <c r="F20">
        <v>27</v>
      </c>
      <c r="G20">
        <v>9</v>
      </c>
      <c r="J20" s="8">
        <f t="shared" si="5"/>
        <v>8.3333333333333329E-2</v>
      </c>
      <c r="K20" s="8">
        <f t="shared" si="6"/>
        <v>6.333333333333333</v>
      </c>
      <c r="L20" s="8">
        <f t="shared" si="7"/>
        <v>1.3157894736842105E-2</v>
      </c>
      <c r="M20" s="15">
        <f t="shared" si="0"/>
        <v>2268</v>
      </c>
      <c r="N20" s="15">
        <f t="shared" si="1"/>
        <v>364.5</v>
      </c>
      <c r="O20" s="15">
        <f t="shared" si="2"/>
        <v>2632.5</v>
      </c>
      <c r="P20" s="15">
        <f t="shared" si="3"/>
        <v>4.9483082706766917</v>
      </c>
      <c r="Q20" s="15"/>
    </row>
    <row r="21" spans="1:17">
      <c r="A21" s="2">
        <v>45792</v>
      </c>
      <c r="B21" s="1">
        <f t="shared" ca="1" si="4"/>
        <v>3</v>
      </c>
      <c r="C21">
        <v>437</v>
      </c>
      <c r="D21">
        <v>8</v>
      </c>
      <c r="E21">
        <v>63</v>
      </c>
      <c r="F21">
        <v>30</v>
      </c>
      <c r="G21">
        <v>9</v>
      </c>
      <c r="J21" s="8">
        <f t="shared" si="5"/>
        <v>0.12698412698412698</v>
      </c>
      <c r="K21" s="8">
        <f t="shared" si="6"/>
        <v>6.9365079365079367</v>
      </c>
      <c r="L21" s="8">
        <f t="shared" si="7"/>
        <v>1.8306636155606407E-2</v>
      </c>
      <c r="M21" s="15">
        <f t="shared" si="0"/>
        <v>1890</v>
      </c>
      <c r="N21" s="15">
        <f t="shared" si="1"/>
        <v>405</v>
      </c>
      <c r="O21" s="15">
        <f t="shared" si="2"/>
        <v>2295</v>
      </c>
      <c r="P21" s="15">
        <f t="shared" si="3"/>
        <v>5.251716247139588</v>
      </c>
      <c r="Q21" s="15"/>
    </row>
    <row r="22" spans="1:17">
      <c r="A22" s="2">
        <v>45920</v>
      </c>
      <c r="B22" s="1">
        <f t="shared" ca="1" si="4"/>
        <v>3</v>
      </c>
      <c r="C22">
        <v>260</v>
      </c>
      <c r="D22">
        <v>8</v>
      </c>
      <c r="E22">
        <v>75</v>
      </c>
      <c r="F22">
        <v>26</v>
      </c>
      <c r="G22">
        <v>10</v>
      </c>
      <c r="J22" s="8">
        <f t="shared" si="5"/>
        <v>0.10666666666666667</v>
      </c>
      <c r="K22" s="8">
        <f t="shared" si="6"/>
        <v>3.4666666666666668</v>
      </c>
      <c r="L22" s="8">
        <f t="shared" si="7"/>
        <v>3.0769230769230771E-2</v>
      </c>
      <c r="M22" s="15">
        <f t="shared" si="0"/>
        <v>1950</v>
      </c>
      <c r="N22" s="15">
        <f t="shared" si="1"/>
        <v>390</v>
      </c>
      <c r="O22" s="15">
        <f t="shared" si="2"/>
        <v>2340</v>
      </c>
      <c r="P22" s="15">
        <f t="shared" si="3"/>
        <v>9</v>
      </c>
      <c r="Q22" s="15"/>
    </row>
    <row r="23" spans="1:17">
      <c r="A23" s="2">
        <v>45890</v>
      </c>
      <c r="B23" s="1">
        <f t="shared" ca="1" si="4"/>
        <v>2</v>
      </c>
      <c r="C23">
        <v>472</v>
      </c>
      <c r="D23">
        <v>4</v>
      </c>
      <c r="E23">
        <v>45</v>
      </c>
      <c r="F23">
        <v>22</v>
      </c>
      <c r="G23">
        <v>8</v>
      </c>
      <c r="J23" s="8">
        <f t="shared" si="5"/>
        <v>8.8888888888888892E-2</v>
      </c>
      <c r="K23" s="8">
        <f t="shared" si="6"/>
        <v>10.488888888888889</v>
      </c>
      <c r="L23" s="8">
        <f t="shared" si="7"/>
        <v>8.4745762711864406E-3</v>
      </c>
      <c r="M23" s="15">
        <f t="shared" si="0"/>
        <v>990</v>
      </c>
      <c r="N23" s="15">
        <f t="shared" si="1"/>
        <v>264</v>
      </c>
      <c r="O23" s="15">
        <f t="shared" si="2"/>
        <v>1254</v>
      </c>
      <c r="P23" s="15">
        <f t="shared" si="3"/>
        <v>2.656779661016949</v>
      </c>
      <c r="Q23" s="15"/>
    </row>
    <row r="24" spans="1:17">
      <c r="A24" s="2">
        <v>45688</v>
      </c>
      <c r="B24" s="1">
        <f t="shared" ca="1" si="4"/>
        <v>3</v>
      </c>
      <c r="C24">
        <v>331</v>
      </c>
      <c r="D24">
        <v>5</v>
      </c>
      <c r="E24">
        <v>56</v>
      </c>
      <c r="F24">
        <v>21</v>
      </c>
      <c r="G24">
        <v>5</v>
      </c>
      <c r="J24" s="8">
        <f t="shared" si="5"/>
        <v>8.9285714285714288E-2</v>
      </c>
      <c r="K24" s="8">
        <f t="shared" si="6"/>
        <v>5.9107142857142856</v>
      </c>
      <c r="L24" s="8">
        <f t="shared" si="7"/>
        <v>1.5105740181268883E-2</v>
      </c>
      <c r="M24" s="15">
        <f t="shared" si="0"/>
        <v>1176</v>
      </c>
      <c r="N24" s="15">
        <f t="shared" si="1"/>
        <v>157.5</v>
      </c>
      <c r="O24" s="15">
        <f t="shared" si="2"/>
        <v>1333.5</v>
      </c>
      <c r="P24" s="15">
        <f t="shared" si="3"/>
        <v>4.0287009063444108</v>
      </c>
      <c r="Q24" s="15"/>
    </row>
    <row r="25" spans="1:17">
      <c r="A25" s="2">
        <v>45822</v>
      </c>
      <c r="B25" s="1">
        <f t="shared" ca="1" si="4"/>
        <v>3</v>
      </c>
      <c r="C25">
        <v>419</v>
      </c>
      <c r="D25">
        <v>8</v>
      </c>
      <c r="E25">
        <v>43</v>
      </c>
      <c r="F25">
        <v>30</v>
      </c>
      <c r="G25">
        <v>8</v>
      </c>
      <c r="J25" s="8">
        <f t="shared" si="5"/>
        <v>0.18604651162790697</v>
      </c>
      <c r="K25" s="8">
        <f t="shared" si="6"/>
        <v>9.7441860465116275</v>
      </c>
      <c r="L25" s="8">
        <f t="shared" si="7"/>
        <v>1.9093078758949882E-2</v>
      </c>
      <c r="M25" s="15">
        <f t="shared" si="0"/>
        <v>1290</v>
      </c>
      <c r="N25" s="15">
        <f t="shared" si="1"/>
        <v>360</v>
      </c>
      <c r="O25" s="15">
        <f t="shared" si="2"/>
        <v>1650</v>
      </c>
      <c r="P25" s="15">
        <f t="shared" si="3"/>
        <v>3.9379474940334127</v>
      </c>
      <c r="Q25" s="15"/>
    </row>
    <row r="26" spans="1:17">
      <c r="A26" s="2">
        <v>46006</v>
      </c>
      <c r="B26" s="1">
        <f t="shared" ca="1" si="4"/>
        <v>1</v>
      </c>
      <c r="C26">
        <v>228</v>
      </c>
      <c r="D26">
        <v>10</v>
      </c>
      <c r="E26">
        <v>100</v>
      </c>
      <c r="F26">
        <v>27</v>
      </c>
      <c r="G26">
        <v>10</v>
      </c>
      <c r="J26" s="8">
        <f t="shared" si="5"/>
        <v>0.1</v>
      </c>
      <c r="K26" s="8">
        <f t="shared" si="6"/>
        <v>2.2799999999999998</v>
      </c>
      <c r="L26" s="8">
        <f t="shared" si="7"/>
        <v>4.3859649122807015E-2</v>
      </c>
      <c r="M26" s="15">
        <f t="shared" si="0"/>
        <v>2700</v>
      </c>
      <c r="N26" s="15">
        <f t="shared" si="1"/>
        <v>405</v>
      </c>
      <c r="O26" s="15">
        <f t="shared" si="2"/>
        <v>3105</v>
      </c>
      <c r="P26" s="15">
        <f t="shared" si="3"/>
        <v>13.618421052631579</v>
      </c>
      <c r="Q26" s="15"/>
    </row>
    <row r="27" spans="1:17">
      <c r="A27" s="2">
        <v>45911</v>
      </c>
      <c r="B27" s="1">
        <f t="shared" ca="1" si="4"/>
        <v>3</v>
      </c>
      <c r="C27">
        <v>320</v>
      </c>
      <c r="D27">
        <v>6</v>
      </c>
      <c r="E27">
        <v>86</v>
      </c>
      <c r="F27">
        <v>27</v>
      </c>
      <c r="G27">
        <v>8</v>
      </c>
      <c r="J27" s="8">
        <f t="shared" si="5"/>
        <v>6.9767441860465115E-2</v>
      </c>
      <c r="K27" s="8">
        <f t="shared" si="6"/>
        <v>3.7209302325581395</v>
      </c>
      <c r="L27" s="8">
        <f t="shared" si="7"/>
        <v>1.8749999999999999E-2</v>
      </c>
      <c r="M27" s="15">
        <f t="shared" si="0"/>
        <v>2322</v>
      </c>
      <c r="N27" s="15">
        <f t="shared" si="1"/>
        <v>324</v>
      </c>
      <c r="O27" s="15">
        <f t="shared" si="2"/>
        <v>2646</v>
      </c>
      <c r="P27" s="15">
        <f t="shared" si="3"/>
        <v>8.2687500000000007</v>
      </c>
      <c r="Q27" s="15"/>
    </row>
    <row r="28" spans="1:17">
      <c r="A28" s="2">
        <v>45741</v>
      </c>
      <c r="B28" s="1">
        <f t="shared" ca="1" si="4"/>
        <v>1</v>
      </c>
      <c r="C28">
        <v>540</v>
      </c>
      <c r="D28">
        <v>10</v>
      </c>
      <c r="E28">
        <v>102</v>
      </c>
      <c r="F28">
        <v>26</v>
      </c>
      <c r="G28">
        <v>10</v>
      </c>
      <c r="J28" s="8">
        <f t="shared" si="5"/>
        <v>9.8039215686274508E-2</v>
      </c>
      <c r="K28" s="8">
        <f t="shared" si="6"/>
        <v>5.2941176470588234</v>
      </c>
      <c r="L28" s="8">
        <f t="shared" si="7"/>
        <v>1.8518518518518517E-2</v>
      </c>
      <c r="M28" s="15">
        <f t="shared" si="0"/>
        <v>2652</v>
      </c>
      <c r="N28" s="15">
        <f t="shared" si="1"/>
        <v>390</v>
      </c>
      <c r="O28" s="15">
        <f t="shared" si="2"/>
        <v>3042</v>
      </c>
      <c r="P28" s="15">
        <f t="shared" si="3"/>
        <v>5.6333333333333337</v>
      </c>
      <c r="Q28" s="15"/>
    </row>
    <row r="29" spans="1:17">
      <c r="A29" s="2">
        <v>45761</v>
      </c>
      <c r="B29" s="1">
        <f t="shared" ca="1" si="4"/>
        <v>2</v>
      </c>
      <c r="C29">
        <v>302</v>
      </c>
      <c r="D29">
        <v>8</v>
      </c>
      <c r="E29">
        <v>81</v>
      </c>
      <c r="F29">
        <v>25</v>
      </c>
      <c r="G29">
        <v>7</v>
      </c>
      <c r="J29" s="8">
        <f t="shared" si="5"/>
        <v>9.8765432098765427E-2</v>
      </c>
      <c r="K29" s="8">
        <f t="shared" si="6"/>
        <v>3.7283950617283952</v>
      </c>
      <c r="L29" s="8">
        <f t="shared" si="7"/>
        <v>2.6490066225165563E-2</v>
      </c>
      <c r="M29" s="15">
        <f t="shared" si="0"/>
        <v>2025</v>
      </c>
      <c r="N29" s="15">
        <f t="shared" si="1"/>
        <v>262.5</v>
      </c>
      <c r="O29" s="15">
        <f t="shared" si="2"/>
        <v>2287.5</v>
      </c>
      <c r="P29" s="15">
        <f t="shared" si="3"/>
        <v>7.5745033112582778</v>
      </c>
      <c r="Q29" s="15"/>
    </row>
    <row r="30" spans="1:17">
      <c r="A30" s="2">
        <v>45778</v>
      </c>
      <c r="B30" s="1">
        <f t="shared" ca="1" si="4"/>
        <v>2</v>
      </c>
      <c r="C30">
        <v>408</v>
      </c>
      <c r="D30">
        <v>5</v>
      </c>
      <c r="E30">
        <v>74</v>
      </c>
      <c r="F30">
        <v>20</v>
      </c>
      <c r="G30">
        <v>8</v>
      </c>
      <c r="J30" s="8">
        <f t="shared" si="5"/>
        <v>6.7567567567567571E-2</v>
      </c>
      <c r="K30" s="8">
        <f t="shared" si="6"/>
        <v>5.5135135135135132</v>
      </c>
      <c r="L30" s="8">
        <f t="shared" si="7"/>
        <v>1.2254901960784314E-2</v>
      </c>
      <c r="M30" s="15">
        <f t="shared" si="0"/>
        <v>1480</v>
      </c>
      <c r="N30" s="15">
        <f t="shared" si="1"/>
        <v>240</v>
      </c>
      <c r="O30" s="15">
        <f t="shared" si="2"/>
        <v>1720</v>
      </c>
      <c r="P30" s="15">
        <f t="shared" si="3"/>
        <v>4.215686274509804</v>
      </c>
      <c r="Q30" s="15"/>
    </row>
    <row r="31" spans="1:17">
      <c r="A31" s="2">
        <v>45855</v>
      </c>
      <c r="B31" s="1">
        <f t="shared" ca="1" si="4"/>
        <v>3</v>
      </c>
      <c r="C31">
        <v>284</v>
      </c>
      <c r="D31">
        <v>9</v>
      </c>
      <c r="E31">
        <v>45</v>
      </c>
      <c r="F31">
        <v>26</v>
      </c>
      <c r="G31">
        <v>8</v>
      </c>
      <c r="J31" s="8">
        <f t="shared" si="5"/>
        <v>0.2</v>
      </c>
      <c r="K31" s="8">
        <f t="shared" si="6"/>
        <v>6.3111111111111109</v>
      </c>
      <c r="L31" s="8">
        <f t="shared" si="7"/>
        <v>3.1690140845070422E-2</v>
      </c>
      <c r="M31" s="15">
        <f t="shared" si="0"/>
        <v>1170</v>
      </c>
      <c r="N31" s="15">
        <f t="shared" si="1"/>
        <v>312</v>
      </c>
      <c r="O31" s="15">
        <f t="shared" si="2"/>
        <v>1482</v>
      </c>
      <c r="P31" s="15">
        <f t="shared" si="3"/>
        <v>5.21830985915493</v>
      </c>
      <c r="Q31" s="15"/>
    </row>
    <row r="32" spans="1:17">
      <c r="A32" s="2">
        <v>45982</v>
      </c>
      <c r="B32" s="1">
        <f t="shared" ca="1" si="4"/>
        <v>3</v>
      </c>
      <c r="C32">
        <v>191</v>
      </c>
      <c r="D32">
        <v>4</v>
      </c>
      <c r="E32">
        <v>83</v>
      </c>
      <c r="F32">
        <v>18</v>
      </c>
      <c r="G32">
        <v>7</v>
      </c>
      <c r="J32" s="8">
        <f t="shared" si="5"/>
        <v>4.8192771084337352E-2</v>
      </c>
      <c r="K32" s="8">
        <f t="shared" si="6"/>
        <v>2.3012048192771086</v>
      </c>
      <c r="L32" s="8">
        <f t="shared" si="7"/>
        <v>2.0942408376963352E-2</v>
      </c>
      <c r="M32" s="15">
        <f t="shared" si="0"/>
        <v>1494</v>
      </c>
      <c r="N32" s="15">
        <f t="shared" si="1"/>
        <v>189</v>
      </c>
      <c r="O32" s="15">
        <f t="shared" si="2"/>
        <v>1683</v>
      </c>
      <c r="P32" s="15">
        <f t="shared" si="3"/>
        <v>8.811518324607329</v>
      </c>
      <c r="Q32" s="15"/>
    </row>
    <row r="33" spans="1:17">
      <c r="A33" s="2">
        <v>45747</v>
      </c>
      <c r="B33" s="1">
        <f t="shared" ca="1" si="4"/>
        <v>3</v>
      </c>
      <c r="C33">
        <v>454</v>
      </c>
      <c r="D33">
        <v>7</v>
      </c>
      <c r="E33">
        <v>98</v>
      </c>
      <c r="F33">
        <v>18</v>
      </c>
      <c r="G33">
        <v>9</v>
      </c>
      <c r="J33" s="8">
        <f t="shared" si="5"/>
        <v>7.1428571428571425E-2</v>
      </c>
      <c r="K33" s="8">
        <f t="shared" si="6"/>
        <v>4.6326530612244898</v>
      </c>
      <c r="L33" s="8">
        <f t="shared" si="7"/>
        <v>1.5418502202643172E-2</v>
      </c>
      <c r="M33" s="15">
        <f t="shared" si="0"/>
        <v>1764</v>
      </c>
      <c r="N33" s="15">
        <f t="shared" si="1"/>
        <v>243</v>
      </c>
      <c r="O33" s="15">
        <f t="shared" si="2"/>
        <v>2007</v>
      </c>
      <c r="P33" s="15">
        <f t="shared" si="3"/>
        <v>4.4207048458149778</v>
      </c>
      <c r="Q33" s="15"/>
    </row>
    <row r="34" spans="1:17">
      <c r="A34" s="2">
        <v>45951</v>
      </c>
      <c r="B34" s="1">
        <f t="shared" ca="1" si="4"/>
        <v>2</v>
      </c>
      <c r="C34">
        <v>586</v>
      </c>
      <c r="D34">
        <v>10</v>
      </c>
      <c r="E34">
        <v>48</v>
      </c>
      <c r="F34">
        <v>26</v>
      </c>
      <c r="G34">
        <v>10</v>
      </c>
      <c r="J34" s="8">
        <f t="shared" si="5"/>
        <v>0.20833333333333334</v>
      </c>
      <c r="K34" s="8">
        <f t="shared" si="6"/>
        <v>12.208333333333334</v>
      </c>
      <c r="L34" s="8">
        <f t="shared" si="7"/>
        <v>1.7064846416382253E-2</v>
      </c>
      <c r="M34" s="15">
        <f t="shared" si="0"/>
        <v>1248</v>
      </c>
      <c r="N34" s="15">
        <f t="shared" si="1"/>
        <v>390</v>
      </c>
      <c r="O34" s="15">
        <f t="shared" si="2"/>
        <v>1638</v>
      </c>
      <c r="P34" s="15">
        <f t="shared" si="3"/>
        <v>2.795221843003413</v>
      </c>
      <c r="Q34" s="15"/>
    </row>
    <row r="35" spans="1:17">
      <c r="A35" s="2">
        <v>45964</v>
      </c>
      <c r="B35" s="1">
        <f t="shared" ca="1" si="4"/>
        <v>2</v>
      </c>
      <c r="C35">
        <v>176</v>
      </c>
      <c r="D35">
        <v>4</v>
      </c>
      <c r="E35">
        <v>118</v>
      </c>
      <c r="F35">
        <v>21</v>
      </c>
      <c r="G35">
        <v>8</v>
      </c>
      <c r="J35" s="8">
        <f t="shared" si="5"/>
        <v>3.3898305084745763E-2</v>
      </c>
      <c r="K35" s="8">
        <f t="shared" si="6"/>
        <v>1.4915254237288136</v>
      </c>
      <c r="L35" s="8">
        <f t="shared" si="7"/>
        <v>2.2727272727272728E-2</v>
      </c>
      <c r="M35" s="15">
        <f t="shared" si="0"/>
        <v>2478</v>
      </c>
      <c r="N35" s="15">
        <f t="shared" si="1"/>
        <v>252</v>
      </c>
      <c r="O35" s="15">
        <f t="shared" si="2"/>
        <v>2730</v>
      </c>
      <c r="P35" s="15">
        <f t="shared" si="3"/>
        <v>15.511363636363637</v>
      </c>
      <c r="Q35" s="15"/>
    </row>
    <row r="36" spans="1:17">
      <c r="A36" s="2">
        <v>45797</v>
      </c>
      <c r="B36" s="1">
        <f t="shared" ca="1" si="4"/>
        <v>1</v>
      </c>
      <c r="C36">
        <v>205</v>
      </c>
      <c r="D36">
        <v>4</v>
      </c>
      <c r="E36">
        <v>76</v>
      </c>
      <c r="F36">
        <v>21</v>
      </c>
      <c r="G36">
        <v>8</v>
      </c>
      <c r="J36" s="8">
        <f t="shared" si="5"/>
        <v>5.2631578947368418E-2</v>
      </c>
      <c r="K36" s="8">
        <f t="shared" si="6"/>
        <v>2.6973684210526314</v>
      </c>
      <c r="L36" s="8">
        <f t="shared" si="7"/>
        <v>1.9512195121951219E-2</v>
      </c>
      <c r="M36" s="15">
        <f t="shared" si="0"/>
        <v>1596</v>
      </c>
      <c r="N36" s="15">
        <f t="shared" si="1"/>
        <v>252</v>
      </c>
      <c r="O36" s="15">
        <f t="shared" si="2"/>
        <v>1848</v>
      </c>
      <c r="P36" s="15">
        <f t="shared" si="3"/>
        <v>9.0146341463414625</v>
      </c>
      <c r="Q36" s="15"/>
    </row>
    <row r="37" spans="1:17">
      <c r="A37" s="2">
        <v>45756</v>
      </c>
      <c r="B37" s="1">
        <f t="shared" ca="1" si="4"/>
        <v>3</v>
      </c>
      <c r="C37">
        <v>240</v>
      </c>
      <c r="D37">
        <v>5</v>
      </c>
      <c r="E37">
        <v>109</v>
      </c>
      <c r="F37">
        <v>25</v>
      </c>
      <c r="G37">
        <v>10</v>
      </c>
      <c r="J37" s="8">
        <f t="shared" si="5"/>
        <v>4.5871559633027525E-2</v>
      </c>
      <c r="K37" s="8">
        <f t="shared" si="6"/>
        <v>2.2018348623853212</v>
      </c>
      <c r="L37" s="8">
        <f t="shared" si="7"/>
        <v>2.0833333333333332E-2</v>
      </c>
      <c r="M37" s="15">
        <f t="shared" si="0"/>
        <v>2725</v>
      </c>
      <c r="N37" s="15">
        <f t="shared" si="1"/>
        <v>375</v>
      </c>
      <c r="O37" s="15">
        <f t="shared" si="2"/>
        <v>3100</v>
      </c>
      <c r="P37" s="15">
        <f t="shared" si="3"/>
        <v>12.916666666666666</v>
      </c>
      <c r="Q37" s="15"/>
    </row>
    <row r="38" spans="1:17">
      <c r="A38" s="2">
        <v>46012</v>
      </c>
      <c r="B38" s="1">
        <f t="shared" ca="1" si="4"/>
        <v>1</v>
      </c>
      <c r="C38">
        <v>534</v>
      </c>
      <c r="D38">
        <v>3</v>
      </c>
      <c r="E38">
        <v>93</v>
      </c>
      <c r="F38">
        <v>22</v>
      </c>
      <c r="G38">
        <v>8</v>
      </c>
      <c r="J38" s="8">
        <f t="shared" si="5"/>
        <v>3.2258064516129031E-2</v>
      </c>
      <c r="K38" s="8">
        <f t="shared" si="6"/>
        <v>5.741935483870968</v>
      </c>
      <c r="L38" s="8">
        <f t="shared" si="7"/>
        <v>5.6179775280898875E-3</v>
      </c>
      <c r="M38" s="15">
        <f t="shared" si="0"/>
        <v>2046</v>
      </c>
      <c r="N38" s="15">
        <f t="shared" si="1"/>
        <v>264</v>
      </c>
      <c r="O38" s="15">
        <f t="shared" si="2"/>
        <v>2310</v>
      </c>
      <c r="P38" s="15">
        <f t="shared" si="3"/>
        <v>4.3258426966292136</v>
      </c>
      <c r="Q38" s="15"/>
    </row>
    <row r="39" spans="1:17">
      <c r="A39" s="2">
        <v>45775</v>
      </c>
      <c r="B39" s="1">
        <f t="shared" ca="1" si="4"/>
        <v>3</v>
      </c>
      <c r="C39">
        <v>312</v>
      </c>
      <c r="D39">
        <v>2</v>
      </c>
      <c r="E39">
        <v>66</v>
      </c>
      <c r="F39">
        <v>28</v>
      </c>
      <c r="G39">
        <v>10</v>
      </c>
      <c r="J39" s="8">
        <f t="shared" si="5"/>
        <v>3.0303030303030304E-2</v>
      </c>
      <c r="K39" s="8">
        <f t="shared" si="6"/>
        <v>4.7272727272727275</v>
      </c>
      <c r="L39" s="8">
        <f t="shared" si="7"/>
        <v>6.41025641025641E-3</v>
      </c>
      <c r="M39" s="15">
        <f t="shared" si="0"/>
        <v>1848</v>
      </c>
      <c r="N39" s="15">
        <f t="shared" si="1"/>
        <v>420</v>
      </c>
      <c r="O39" s="15">
        <f t="shared" si="2"/>
        <v>2268</v>
      </c>
      <c r="P39" s="15">
        <f t="shared" si="3"/>
        <v>7.2692307692307692</v>
      </c>
      <c r="Q39" s="15"/>
    </row>
    <row r="40" spans="1:17">
      <c r="A40" s="2">
        <v>45693</v>
      </c>
      <c r="B40" s="1">
        <f t="shared" ca="1" si="4"/>
        <v>2</v>
      </c>
      <c r="C40">
        <v>460</v>
      </c>
      <c r="D40">
        <v>5</v>
      </c>
      <c r="E40">
        <v>89</v>
      </c>
      <c r="F40">
        <v>18</v>
      </c>
      <c r="G40">
        <v>7</v>
      </c>
      <c r="J40" s="8">
        <f t="shared" si="5"/>
        <v>5.6179775280898875E-2</v>
      </c>
      <c r="K40" s="8">
        <f t="shared" si="6"/>
        <v>5.1685393258426968</v>
      </c>
      <c r="L40" s="8">
        <f t="shared" si="7"/>
        <v>1.0869565217391304E-2</v>
      </c>
      <c r="M40" s="15">
        <f t="shared" si="0"/>
        <v>1602</v>
      </c>
      <c r="N40" s="15">
        <f t="shared" si="1"/>
        <v>189</v>
      </c>
      <c r="O40" s="15">
        <f t="shared" si="2"/>
        <v>1791</v>
      </c>
      <c r="P40" s="15">
        <f t="shared" si="3"/>
        <v>3.8934782608695651</v>
      </c>
      <c r="Q40" s="15"/>
    </row>
    <row r="41" spans="1:17">
      <c r="A41" s="2">
        <v>45798</v>
      </c>
      <c r="B41" s="1">
        <f t="shared" ca="1" si="4"/>
        <v>3</v>
      </c>
      <c r="C41">
        <v>296</v>
      </c>
      <c r="D41">
        <v>2</v>
      </c>
      <c r="E41">
        <v>65</v>
      </c>
      <c r="F41">
        <v>18</v>
      </c>
      <c r="G41">
        <v>8</v>
      </c>
      <c r="J41" s="8">
        <f t="shared" si="5"/>
        <v>3.0769230769230771E-2</v>
      </c>
      <c r="K41" s="8">
        <f t="shared" si="6"/>
        <v>4.5538461538461537</v>
      </c>
      <c r="L41" s="8">
        <f t="shared" si="7"/>
        <v>6.7567567567567571E-3</v>
      </c>
      <c r="M41" s="15">
        <f t="shared" si="0"/>
        <v>1170</v>
      </c>
      <c r="N41" s="15">
        <f t="shared" si="1"/>
        <v>216</v>
      </c>
      <c r="O41" s="15">
        <f t="shared" si="2"/>
        <v>1386</v>
      </c>
      <c r="P41" s="15">
        <f t="shared" si="3"/>
        <v>4.6824324324324325</v>
      </c>
      <c r="Q41" s="15"/>
    </row>
    <row r="42" spans="1:17">
      <c r="A42" s="2">
        <v>45757</v>
      </c>
      <c r="B42" s="1">
        <f t="shared" ca="1" si="4"/>
        <v>3</v>
      </c>
      <c r="C42">
        <v>451</v>
      </c>
      <c r="D42">
        <v>9</v>
      </c>
      <c r="E42">
        <v>92</v>
      </c>
      <c r="F42">
        <v>29</v>
      </c>
      <c r="G42">
        <v>6</v>
      </c>
      <c r="J42" s="8">
        <f t="shared" si="5"/>
        <v>9.7826086956521743E-2</v>
      </c>
      <c r="K42" s="8">
        <f t="shared" si="6"/>
        <v>4.9021739130434785</v>
      </c>
      <c r="L42" s="8">
        <f t="shared" si="7"/>
        <v>1.9955654101995565E-2</v>
      </c>
      <c r="M42" s="15">
        <f t="shared" si="0"/>
        <v>2668</v>
      </c>
      <c r="N42" s="15">
        <f t="shared" si="1"/>
        <v>261</v>
      </c>
      <c r="O42" s="15">
        <f t="shared" si="2"/>
        <v>2929</v>
      </c>
      <c r="P42" s="15">
        <f t="shared" si="3"/>
        <v>6.4944567627494454</v>
      </c>
      <c r="Q42" s="15"/>
    </row>
    <row r="43" spans="1:17">
      <c r="A43" s="2">
        <v>45659</v>
      </c>
      <c r="B43" s="1">
        <f t="shared" ca="1" si="4"/>
        <v>3</v>
      </c>
      <c r="C43">
        <v>274</v>
      </c>
      <c r="D43">
        <v>2</v>
      </c>
      <c r="E43">
        <v>94</v>
      </c>
      <c r="F43">
        <v>22</v>
      </c>
      <c r="G43">
        <v>7</v>
      </c>
      <c r="J43" s="8">
        <f t="shared" si="5"/>
        <v>2.1276595744680851E-2</v>
      </c>
      <c r="K43" s="8">
        <f t="shared" si="6"/>
        <v>2.9148936170212765</v>
      </c>
      <c r="L43" s="8">
        <f t="shared" si="7"/>
        <v>7.2992700729927005E-3</v>
      </c>
      <c r="M43" s="15">
        <f t="shared" si="0"/>
        <v>2068</v>
      </c>
      <c r="N43" s="15">
        <f t="shared" si="1"/>
        <v>231</v>
      </c>
      <c r="O43" s="15">
        <f t="shared" si="2"/>
        <v>2299</v>
      </c>
      <c r="P43" s="15">
        <f t="shared" si="3"/>
        <v>8.39051094890511</v>
      </c>
      <c r="Q43" s="15"/>
    </row>
    <row r="44" spans="1:17">
      <c r="A44" s="2">
        <v>45944</v>
      </c>
      <c r="B44" s="1">
        <f t="shared" ca="1" si="4"/>
        <v>3</v>
      </c>
      <c r="C44">
        <v>459</v>
      </c>
      <c r="D44">
        <v>5</v>
      </c>
      <c r="E44">
        <v>72</v>
      </c>
      <c r="F44">
        <v>20</v>
      </c>
      <c r="G44">
        <v>8</v>
      </c>
      <c r="J44" s="8">
        <f t="shared" si="5"/>
        <v>6.9444444444444448E-2</v>
      </c>
      <c r="K44" s="8">
        <f t="shared" si="6"/>
        <v>6.375</v>
      </c>
      <c r="L44" s="8">
        <f t="shared" si="7"/>
        <v>1.0893246187363835E-2</v>
      </c>
      <c r="M44" s="15">
        <f t="shared" si="0"/>
        <v>1440</v>
      </c>
      <c r="N44" s="15">
        <f t="shared" si="1"/>
        <v>240</v>
      </c>
      <c r="O44" s="15">
        <f t="shared" si="2"/>
        <v>1680</v>
      </c>
      <c r="P44" s="15">
        <f t="shared" si="3"/>
        <v>3.6601307189542482</v>
      </c>
      <c r="Q44" s="15"/>
    </row>
    <row r="45" spans="1:17">
      <c r="A45" s="2">
        <v>45862</v>
      </c>
      <c r="B45" s="1">
        <f t="shared" ca="1" si="4"/>
        <v>2</v>
      </c>
      <c r="C45">
        <v>300</v>
      </c>
      <c r="D45">
        <v>3</v>
      </c>
      <c r="E45">
        <v>94</v>
      </c>
      <c r="F45">
        <v>30</v>
      </c>
      <c r="G45">
        <v>10</v>
      </c>
      <c r="J45" s="8">
        <f t="shared" si="5"/>
        <v>3.1914893617021274E-2</v>
      </c>
      <c r="K45" s="8">
        <f t="shared" si="6"/>
        <v>3.1914893617021276</v>
      </c>
      <c r="L45" s="8">
        <f t="shared" si="7"/>
        <v>0.01</v>
      </c>
      <c r="M45" s="15">
        <f t="shared" si="0"/>
        <v>2820</v>
      </c>
      <c r="N45" s="15">
        <f t="shared" si="1"/>
        <v>450</v>
      </c>
      <c r="O45" s="15">
        <f t="shared" si="2"/>
        <v>3270</v>
      </c>
      <c r="P45" s="15">
        <f t="shared" si="3"/>
        <v>10.9</v>
      </c>
      <c r="Q45" s="15"/>
    </row>
    <row r="46" spans="1:17">
      <c r="A46" s="2">
        <v>45885</v>
      </c>
      <c r="B46" s="1">
        <f t="shared" ca="1" si="4"/>
        <v>2</v>
      </c>
      <c r="C46">
        <v>516</v>
      </c>
      <c r="D46">
        <v>5</v>
      </c>
      <c r="E46">
        <v>82</v>
      </c>
      <c r="F46">
        <v>30</v>
      </c>
      <c r="G46">
        <v>5</v>
      </c>
      <c r="J46" s="8">
        <f t="shared" si="5"/>
        <v>6.097560975609756E-2</v>
      </c>
      <c r="K46" s="8">
        <f t="shared" si="6"/>
        <v>6.2926829268292686</v>
      </c>
      <c r="L46" s="8">
        <f t="shared" si="7"/>
        <v>9.6899224806201549E-3</v>
      </c>
      <c r="M46" s="15">
        <f t="shared" si="0"/>
        <v>2460</v>
      </c>
      <c r="N46" s="15">
        <f t="shared" si="1"/>
        <v>225</v>
      </c>
      <c r="O46" s="15">
        <f t="shared" si="2"/>
        <v>2685</v>
      </c>
      <c r="P46" s="15">
        <f t="shared" si="3"/>
        <v>5.2034883720930232</v>
      </c>
      <c r="Q46" s="15"/>
    </row>
    <row r="47" spans="1:17">
      <c r="A47" s="2">
        <v>45843</v>
      </c>
      <c r="B47" s="1">
        <f t="shared" ca="1" si="4"/>
        <v>1</v>
      </c>
      <c r="C47">
        <v>357</v>
      </c>
      <c r="D47">
        <v>3</v>
      </c>
      <c r="E47">
        <v>84</v>
      </c>
      <c r="F47">
        <v>22</v>
      </c>
      <c r="G47">
        <v>9</v>
      </c>
      <c r="J47" s="8">
        <f t="shared" si="5"/>
        <v>3.5714285714285712E-2</v>
      </c>
      <c r="K47" s="8">
        <f t="shared" si="6"/>
        <v>4.25</v>
      </c>
      <c r="L47" s="8">
        <f t="shared" si="7"/>
        <v>8.4033613445378148E-3</v>
      </c>
      <c r="M47" s="15">
        <f t="shared" si="0"/>
        <v>1848</v>
      </c>
      <c r="N47" s="15">
        <f t="shared" si="1"/>
        <v>297</v>
      </c>
      <c r="O47" s="15">
        <f t="shared" si="2"/>
        <v>2145</v>
      </c>
      <c r="P47" s="15">
        <f t="shared" si="3"/>
        <v>6.0084033613445378</v>
      </c>
      <c r="Q47" s="15"/>
    </row>
    <row r="48" spans="1:17">
      <c r="A48" s="2">
        <v>45771</v>
      </c>
      <c r="B48" s="1">
        <f t="shared" ca="1" si="4"/>
        <v>1</v>
      </c>
      <c r="C48">
        <v>352</v>
      </c>
      <c r="D48">
        <v>3</v>
      </c>
      <c r="E48">
        <v>110</v>
      </c>
      <c r="F48">
        <v>27</v>
      </c>
      <c r="G48">
        <v>10</v>
      </c>
      <c r="J48" s="8">
        <f t="shared" si="5"/>
        <v>2.7272727272727271E-2</v>
      </c>
      <c r="K48" s="8">
        <f t="shared" si="6"/>
        <v>3.2</v>
      </c>
      <c r="L48" s="8">
        <f t="shared" si="7"/>
        <v>8.5227272727272721E-3</v>
      </c>
      <c r="M48" s="15">
        <f t="shared" si="0"/>
        <v>2970</v>
      </c>
      <c r="N48" s="15">
        <f t="shared" si="1"/>
        <v>405</v>
      </c>
      <c r="O48" s="15">
        <f t="shared" si="2"/>
        <v>3375</v>
      </c>
      <c r="P48" s="15">
        <f t="shared" si="3"/>
        <v>9.5880681818181817</v>
      </c>
      <c r="Q48" s="15"/>
    </row>
    <row r="49" spans="1:17">
      <c r="A49" s="2">
        <v>45841</v>
      </c>
      <c r="B49" s="1">
        <f t="shared" ca="1" si="4"/>
        <v>1</v>
      </c>
      <c r="C49">
        <v>537</v>
      </c>
      <c r="D49">
        <v>7</v>
      </c>
      <c r="E49">
        <v>119</v>
      </c>
      <c r="F49">
        <v>22</v>
      </c>
      <c r="G49">
        <v>10</v>
      </c>
      <c r="J49" s="8">
        <f t="shared" si="5"/>
        <v>5.8823529411764705E-2</v>
      </c>
      <c r="K49" s="8">
        <f t="shared" si="6"/>
        <v>4.5126050420168067</v>
      </c>
      <c r="L49" s="8">
        <f t="shared" si="7"/>
        <v>1.3035381750465549E-2</v>
      </c>
      <c r="M49" s="15">
        <f t="shared" si="0"/>
        <v>2618</v>
      </c>
      <c r="N49" s="15">
        <f t="shared" si="1"/>
        <v>330</v>
      </c>
      <c r="O49" s="15">
        <f t="shared" si="2"/>
        <v>2948</v>
      </c>
      <c r="P49" s="15">
        <f t="shared" si="3"/>
        <v>5.4897579143389201</v>
      </c>
      <c r="Q49" s="15"/>
    </row>
    <row r="50" spans="1:17">
      <c r="A50" s="2">
        <v>45989</v>
      </c>
      <c r="B50" s="1">
        <f t="shared" ca="1" si="4"/>
        <v>3</v>
      </c>
      <c r="C50">
        <v>285</v>
      </c>
      <c r="D50">
        <v>4</v>
      </c>
      <c r="E50">
        <v>98</v>
      </c>
      <c r="F50">
        <v>20</v>
      </c>
      <c r="G50">
        <v>7</v>
      </c>
      <c r="J50" s="8">
        <f t="shared" si="5"/>
        <v>4.0816326530612242E-2</v>
      </c>
      <c r="K50" s="8">
        <f t="shared" si="6"/>
        <v>2.9081632653061225</v>
      </c>
      <c r="L50" s="8">
        <f t="shared" si="7"/>
        <v>1.4035087719298246E-2</v>
      </c>
      <c r="M50" s="15">
        <f t="shared" si="0"/>
        <v>1960</v>
      </c>
      <c r="N50" s="15">
        <f t="shared" si="1"/>
        <v>210</v>
      </c>
      <c r="O50" s="15">
        <f t="shared" si="2"/>
        <v>2170</v>
      </c>
      <c r="P50" s="15">
        <f t="shared" si="3"/>
        <v>7.6140350877192979</v>
      </c>
      <c r="Q50" s="15"/>
    </row>
    <row r="51" spans="1:17">
      <c r="A51" s="2">
        <v>45996</v>
      </c>
      <c r="B51" s="1">
        <f t="shared" ca="1" si="4"/>
        <v>2</v>
      </c>
      <c r="C51">
        <v>160</v>
      </c>
      <c r="D51">
        <v>7</v>
      </c>
      <c r="E51">
        <v>54</v>
      </c>
      <c r="F51">
        <v>22</v>
      </c>
      <c r="G51">
        <v>7</v>
      </c>
      <c r="J51" s="8">
        <f t="shared" si="5"/>
        <v>0.12962962962962962</v>
      </c>
      <c r="K51" s="8">
        <f t="shared" si="6"/>
        <v>2.9629629629629628</v>
      </c>
      <c r="L51" s="8">
        <f t="shared" si="7"/>
        <v>4.3749999999999997E-2</v>
      </c>
      <c r="M51" s="15">
        <f t="shared" si="0"/>
        <v>1188</v>
      </c>
      <c r="N51" s="15">
        <f t="shared" si="1"/>
        <v>231</v>
      </c>
      <c r="O51" s="15">
        <f t="shared" si="2"/>
        <v>1419</v>
      </c>
      <c r="P51" s="15">
        <f t="shared" si="3"/>
        <v>8.8687500000000004</v>
      </c>
      <c r="Q51" s="15"/>
    </row>
    <row r="52" spans="1:17">
      <c r="A52" s="2">
        <v>45785</v>
      </c>
      <c r="B52" s="1">
        <f t="shared" ca="1" si="4"/>
        <v>3</v>
      </c>
      <c r="C52">
        <v>177</v>
      </c>
      <c r="D52">
        <v>9</v>
      </c>
      <c r="E52">
        <v>63</v>
      </c>
      <c r="F52">
        <v>19</v>
      </c>
      <c r="G52">
        <v>10</v>
      </c>
      <c r="J52" s="8">
        <f t="shared" si="5"/>
        <v>0.14285714285714285</v>
      </c>
      <c r="K52" s="8">
        <f t="shared" si="6"/>
        <v>2.8095238095238093</v>
      </c>
      <c r="L52" s="8">
        <f t="shared" si="7"/>
        <v>5.0847457627118647E-2</v>
      </c>
      <c r="M52" s="15">
        <f t="shared" si="0"/>
        <v>1197</v>
      </c>
      <c r="N52" s="15">
        <f t="shared" si="1"/>
        <v>285</v>
      </c>
      <c r="O52" s="15">
        <f t="shared" si="2"/>
        <v>1482</v>
      </c>
      <c r="P52" s="15">
        <f t="shared" si="3"/>
        <v>8.3728813559322042</v>
      </c>
      <c r="Q52" s="15"/>
    </row>
    <row r="53" spans="1:17">
      <c r="A53" s="2">
        <v>45919</v>
      </c>
      <c r="B53" s="1">
        <f t="shared" ca="1" si="4"/>
        <v>2</v>
      </c>
      <c r="C53">
        <v>176</v>
      </c>
      <c r="D53">
        <v>9</v>
      </c>
      <c r="E53">
        <v>43</v>
      </c>
      <c r="F53">
        <v>23</v>
      </c>
      <c r="G53">
        <v>9</v>
      </c>
      <c r="J53" s="8">
        <f t="shared" si="5"/>
        <v>0.20930232558139536</v>
      </c>
      <c r="K53" s="8">
        <f t="shared" si="6"/>
        <v>4.0930232558139537</v>
      </c>
      <c r="L53" s="8">
        <f t="shared" si="7"/>
        <v>5.113636363636364E-2</v>
      </c>
      <c r="M53" s="15">
        <f t="shared" si="0"/>
        <v>989</v>
      </c>
      <c r="N53" s="15">
        <f t="shared" si="1"/>
        <v>310.5</v>
      </c>
      <c r="O53" s="15">
        <f t="shared" si="2"/>
        <v>1299.5</v>
      </c>
      <c r="P53" s="15">
        <f t="shared" si="3"/>
        <v>7.3835227272727275</v>
      </c>
      <c r="Q53" s="15"/>
    </row>
    <row r="54" spans="1:17">
      <c r="A54" s="2">
        <v>45781</v>
      </c>
      <c r="B54" s="1">
        <f t="shared" ca="1" si="4"/>
        <v>1</v>
      </c>
      <c r="C54">
        <v>333</v>
      </c>
      <c r="D54">
        <v>7</v>
      </c>
      <c r="E54">
        <v>92</v>
      </c>
      <c r="F54">
        <v>24</v>
      </c>
      <c r="G54">
        <v>7</v>
      </c>
      <c r="J54" s="8">
        <f t="shared" si="5"/>
        <v>7.6086956521739135E-2</v>
      </c>
      <c r="K54" s="8">
        <f t="shared" si="6"/>
        <v>3.6195652173913042</v>
      </c>
      <c r="L54" s="8">
        <f t="shared" si="7"/>
        <v>2.1021021021021023E-2</v>
      </c>
      <c r="M54" s="15">
        <f t="shared" si="0"/>
        <v>2208</v>
      </c>
      <c r="N54" s="15">
        <f t="shared" si="1"/>
        <v>252</v>
      </c>
      <c r="O54" s="15">
        <f t="shared" si="2"/>
        <v>2460</v>
      </c>
      <c r="P54" s="15">
        <f t="shared" si="3"/>
        <v>7.3873873873873874</v>
      </c>
      <c r="Q54" s="15"/>
    </row>
    <row r="55" spans="1:17">
      <c r="A55" s="2">
        <v>45859</v>
      </c>
      <c r="B55" s="1">
        <f t="shared" ca="1" si="4"/>
        <v>2</v>
      </c>
      <c r="C55">
        <v>441</v>
      </c>
      <c r="D55">
        <v>10</v>
      </c>
      <c r="E55">
        <v>80</v>
      </c>
      <c r="F55">
        <v>28</v>
      </c>
      <c r="G55">
        <v>6</v>
      </c>
      <c r="J55" s="8">
        <f t="shared" si="5"/>
        <v>0.125</v>
      </c>
      <c r="K55" s="8">
        <f t="shared" si="6"/>
        <v>5.5125000000000002</v>
      </c>
      <c r="L55" s="8">
        <f t="shared" si="7"/>
        <v>2.2675736961451247E-2</v>
      </c>
      <c r="M55" s="15">
        <f t="shared" si="0"/>
        <v>2240</v>
      </c>
      <c r="N55" s="15">
        <f t="shared" si="1"/>
        <v>252</v>
      </c>
      <c r="O55" s="15">
        <f t="shared" si="2"/>
        <v>2492</v>
      </c>
      <c r="P55" s="15">
        <f t="shared" si="3"/>
        <v>5.6507936507936511</v>
      </c>
      <c r="Q55" s="15"/>
    </row>
    <row r="56" spans="1:17">
      <c r="A56" s="2">
        <v>45998</v>
      </c>
      <c r="B56" s="1">
        <f t="shared" ca="1" si="4"/>
        <v>3</v>
      </c>
      <c r="C56">
        <v>559</v>
      </c>
      <c r="D56">
        <v>8</v>
      </c>
      <c r="E56">
        <v>60</v>
      </c>
      <c r="F56">
        <v>18</v>
      </c>
      <c r="G56">
        <v>7</v>
      </c>
      <c r="J56" s="8">
        <f t="shared" si="5"/>
        <v>0.13333333333333333</v>
      </c>
      <c r="K56" s="8">
        <f t="shared" si="6"/>
        <v>9.3166666666666664</v>
      </c>
      <c r="L56" s="8">
        <f t="shared" si="7"/>
        <v>1.4311270125223614E-2</v>
      </c>
      <c r="M56" s="15">
        <f t="shared" si="0"/>
        <v>1080</v>
      </c>
      <c r="N56" s="15">
        <f t="shared" si="1"/>
        <v>189</v>
      </c>
      <c r="O56" s="15">
        <f t="shared" si="2"/>
        <v>1269</v>
      </c>
      <c r="P56" s="15">
        <f t="shared" si="3"/>
        <v>2.2701252236135958</v>
      </c>
      <c r="Q56" s="15"/>
    </row>
    <row r="57" spans="1:17">
      <c r="A57" s="2">
        <v>45722</v>
      </c>
      <c r="B57" s="1">
        <f t="shared" ca="1" si="4"/>
        <v>1</v>
      </c>
      <c r="C57">
        <v>279</v>
      </c>
      <c r="D57">
        <v>10</v>
      </c>
      <c r="E57">
        <v>95</v>
      </c>
      <c r="F57">
        <v>25</v>
      </c>
      <c r="G57">
        <v>8</v>
      </c>
      <c r="J57" s="8">
        <f t="shared" si="5"/>
        <v>0.10526315789473684</v>
      </c>
      <c r="K57" s="8">
        <f t="shared" si="6"/>
        <v>2.9368421052631577</v>
      </c>
      <c r="L57" s="8">
        <f t="shared" si="7"/>
        <v>3.5842293906810034E-2</v>
      </c>
      <c r="M57" s="15">
        <f t="shared" si="0"/>
        <v>2375</v>
      </c>
      <c r="N57" s="15">
        <f t="shared" si="1"/>
        <v>300</v>
      </c>
      <c r="O57" s="15">
        <f t="shared" si="2"/>
        <v>2675</v>
      </c>
      <c r="P57" s="15">
        <f t="shared" si="3"/>
        <v>9.5878136200716852</v>
      </c>
      <c r="Q57" s="15"/>
    </row>
    <row r="58" spans="1:17">
      <c r="A58" s="2">
        <v>45700</v>
      </c>
      <c r="B58" s="1">
        <f t="shared" ca="1" si="4"/>
        <v>3</v>
      </c>
      <c r="C58">
        <v>225</v>
      </c>
      <c r="D58">
        <v>2</v>
      </c>
      <c r="E58">
        <v>118</v>
      </c>
      <c r="F58">
        <v>22</v>
      </c>
      <c r="G58">
        <v>6</v>
      </c>
      <c r="J58" s="8">
        <f t="shared" si="5"/>
        <v>1.6949152542372881E-2</v>
      </c>
      <c r="K58" s="8">
        <f t="shared" si="6"/>
        <v>1.9067796610169492</v>
      </c>
      <c r="L58" s="8">
        <f t="shared" si="7"/>
        <v>8.8888888888888889E-3</v>
      </c>
      <c r="M58" s="15">
        <f t="shared" si="0"/>
        <v>2596</v>
      </c>
      <c r="N58" s="15">
        <f t="shared" si="1"/>
        <v>198</v>
      </c>
      <c r="O58" s="15">
        <f t="shared" si="2"/>
        <v>2794</v>
      </c>
      <c r="P58" s="15">
        <f t="shared" si="3"/>
        <v>12.417777777777777</v>
      </c>
      <c r="Q58" s="15"/>
    </row>
    <row r="59" spans="1:17">
      <c r="A59" s="2">
        <v>45741</v>
      </c>
      <c r="B59" s="1">
        <f t="shared" ca="1" si="4"/>
        <v>1</v>
      </c>
      <c r="C59">
        <v>433</v>
      </c>
      <c r="D59">
        <v>10</v>
      </c>
      <c r="E59">
        <v>95</v>
      </c>
      <c r="F59">
        <v>18</v>
      </c>
      <c r="G59">
        <v>9</v>
      </c>
      <c r="J59" s="8">
        <f t="shared" si="5"/>
        <v>0.10526315789473684</v>
      </c>
      <c r="K59" s="8">
        <f t="shared" si="6"/>
        <v>4.5578947368421057</v>
      </c>
      <c r="L59" s="8">
        <f t="shared" si="7"/>
        <v>2.3094688221709007E-2</v>
      </c>
      <c r="M59" s="15">
        <f t="shared" si="0"/>
        <v>1710</v>
      </c>
      <c r="N59" s="15">
        <f t="shared" si="1"/>
        <v>243</v>
      </c>
      <c r="O59" s="15">
        <f t="shared" si="2"/>
        <v>1953</v>
      </c>
      <c r="P59" s="15">
        <f t="shared" si="3"/>
        <v>4.5103926096997693</v>
      </c>
      <c r="Q59" s="15"/>
    </row>
    <row r="60" spans="1:17">
      <c r="A60" s="2">
        <v>45955</v>
      </c>
      <c r="B60" s="1">
        <f t="shared" ca="1" si="4"/>
        <v>2</v>
      </c>
      <c r="C60">
        <v>459</v>
      </c>
      <c r="D60">
        <v>6</v>
      </c>
      <c r="E60">
        <v>43</v>
      </c>
      <c r="F60">
        <v>29</v>
      </c>
      <c r="G60">
        <v>10</v>
      </c>
      <c r="J60" s="8">
        <f t="shared" si="5"/>
        <v>0.13953488372093023</v>
      </c>
      <c r="K60" s="8">
        <f t="shared" si="6"/>
        <v>10.674418604651162</v>
      </c>
      <c r="L60" s="8">
        <f t="shared" si="7"/>
        <v>1.3071895424836602E-2</v>
      </c>
      <c r="M60" s="15">
        <f t="shared" si="0"/>
        <v>1247</v>
      </c>
      <c r="N60" s="15">
        <f t="shared" si="1"/>
        <v>435</v>
      </c>
      <c r="O60" s="15">
        <f t="shared" si="2"/>
        <v>1682</v>
      </c>
      <c r="P60" s="15">
        <f t="shared" si="3"/>
        <v>3.6644880174291941</v>
      </c>
      <c r="Q60" s="15"/>
    </row>
    <row r="61" spans="1:17">
      <c r="A61" s="2">
        <v>45907</v>
      </c>
      <c r="B61" s="1">
        <f t="shared" ca="1" si="4"/>
        <v>3</v>
      </c>
      <c r="C61">
        <v>400</v>
      </c>
      <c r="D61">
        <v>5</v>
      </c>
      <c r="E61">
        <v>111</v>
      </c>
      <c r="F61">
        <v>25</v>
      </c>
      <c r="G61">
        <v>9</v>
      </c>
      <c r="J61" s="8">
        <f t="shared" si="5"/>
        <v>4.5045045045045043E-2</v>
      </c>
      <c r="K61" s="8">
        <f t="shared" si="6"/>
        <v>3.6036036036036037</v>
      </c>
      <c r="L61" s="8">
        <f t="shared" si="7"/>
        <v>1.2500000000000001E-2</v>
      </c>
      <c r="M61" s="15">
        <f t="shared" si="0"/>
        <v>2775</v>
      </c>
      <c r="N61" s="15">
        <f t="shared" si="1"/>
        <v>337.5</v>
      </c>
      <c r="O61" s="15">
        <f t="shared" si="2"/>
        <v>3112.5</v>
      </c>
      <c r="P61" s="15">
        <f t="shared" si="3"/>
        <v>7.78125</v>
      </c>
      <c r="Q61" s="15"/>
    </row>
    <row r="62" spans="1:17">
      <c r="A62" s="2">
        <v>45847</v>
      </c>
      <c r="B62" s="1">
        <f t="shared" ca="1" si="4"/>
        <v>3</v>
      </c>
      <c r="C62">
        <v>535</v>
      </c>
      <c r="D62">
        <v>7</v>
      </c>
      <c r="E62">
        <v>108</v>
      </c>
      <c r="F62">
        <v>27</v>
      </c>
      <c r="G62">
        <v>7</v>
      </c>
      <c r="J62" s="8">
        <f t="shared" si="5"/>
        <v>6.4814814814814811E-2</v>
      </c>
      <c r="K62" s="8">
        <f t="shared" si="6"/>
        <v>4.9537037037037033</v>
      </c>
      <c r="L62" s="8">
        <f t="shared" si="7"/>
        <v>1.3084112149532711E-2</v>
      </c>
      <c r="M62" s="15">
        <f t="shared" si="0"/>
        <v>2916</v>
      </c>
      <c r="N62" s="15">
        <f t="shared" si="1"/>
        <v>283.5</v>
      </c>
      <c r="O62" s="15">
        <f t="shared" si="2"/>
        <v>3199.5</v>
      </c>
      <c r="P62" s="15">
        <f t="shared" si="3"/>
        <v>5.9803738317757009</v>
      </c>
      <c r="Q62" s="15"/>
    </row>
    <row r="63" spans="1:17">
      <c r="A63" s="2">
        <v>45674</v>
      </c>
      <c r="B63" s="1">
        <f t="shared" ca="1" si="4"/>
        <v>2</v>
      </c>
      <c r="C63">
        <v>464</v>
      </c>
      <c r="D63">
        <v>9</v>
      </c>
      <c r="E63">
        <v>82</v>
      </c>
      <c r="F63">
        <v>21</v>
      </c>
      <c r="G63">
        <v>5</v>
      </c>
      <c r="J63" s="8">
        <f t="shared" si="5"/>
        <v>0.10975609756097561</v>
      </c>
      <c r="K63" s="8">
        <f t="shared" si="6"/>
        <v>5.6585365853658534</v>
      </c>
      <c r="L63" s="8">
        <f t="shared" si="7"/>
        <v>1.9396551724137932E-2</v>
      </c>
      <c r="M63" s="15">
        <f t="shared" si="0"/>
        <v>1722</v>
      </c>
      <c r="N63" s="15">
        <f t="shared" si="1"/>
        <v>157.5</v>
      </c>
      <c r="O63" s="15">
        <f t="shared" si="2"/>
        <v>1879.5</v>
      </c>
      <c r="P63" s="15">
        <f t="shared" si="3"/>
        <v>4.0506465517241379</v>
      </c>
      <c r="Q63" s="15"/>
    </row>
    <row r="64" spans="1:17">
      <c r="A64" s="2">
        <v>45810</v>
      </c>
      <c r="B64" s="1">
        <f t="shared" ca="1" si="4"/>
        <v>3</v>
      </c>
      <c r="C64">
        <v>534</v>
      </c>
      <c r="D64">
        <v>3</v>
      </c>
      <c r="E64">
        <v>113</v>
      </c>
      <c r="F64">
        <v>25</v>
      </c>
      <c r="G64">
        <v>6</v>
      </c>
      <c r="J64" s="8">
        <f t="shared" si="5"/>
        <v>2.6548672566371681E-2</v>
      </c>
      <c r="K64" s="8">
        <f t="shared" si="6"/>
        <v>4.7256637168141591</v>
      </c>
      <c r="L64" s="8">
        <f t="shared" si="7"/>
        <v>5.6179775280898875E-3</v>
      </c>
      <c r="M64" s="15">
        <f t="shared" si="0"/>
        <v>2825</v>
      </c>
      <c r="N64" s="15">
        <f t="shared" si="1"/>
        <v>225</v>
      </c>
      <c r="O64" s="15">
        <f t="shared" si="2"/>
        <v>3050</v>
      </c>
      <c r="P64" s="15">
        <f t="shared" si="3"/>
        <v>5.7116104868913862</v>
      </c>
      <c r="Q64" s="15"/>
    </row>
    <row r="65" spans="1:17">
      <c r="A65" s="2">
        <v>45683</v>
      </c>
      <c r="B65" s="1">
        <f t="shared" ca="1" si="4"/>
        <v>3</v>
      </c>
      <c r="C65">
        <v>270</v>
      </c>
      <c r="D65">
        <v>7</v>
      </c>
      <c r="E65">
        <v>107</v>
      </c>
      <c r="F65">
        <v>29</v>
      </c>
      <c r="G65">
        <v>10</v>
      </c>
      <c r="J65" s="8">
        <f t="shared" si="5"/>
        <v>6.5420560747663545E-2</v>
      </c>
      <c r="K65" s="8">
        <f t="shared" si="6"/>
        <v>2.5233644859813085</v>
      </c>
      <c r="L65" s="8">
        <f t="shared" si="7"/>
        <v>2.5925925925925925E-2</v>
      </c>
      <c r="M65" s="15">
        <f t="shared" si="0"/>
        <v>3103</v>
      </c>
      <c r="N65" s="15">
        <f t="shared" si="1"/>
        <v>435</v>
      </c>
      <c r="O65" s="15">
        <f t="shared" si="2"/>
        <v>3538</v>
      </c>
      <c r="P65" s="15">
        <f t="shared" si="3"/>
        <v>13.103703703703705</v>
      </c>
      <c r="Q65" s="15"/>
    </row>
    <row r="66" spans="1:17">
      <c r="A66" s="2">
        <v>45978</v>
      </c>
      <c r="B66" s="1">
        <f t="shared" ca="1" si="4"/>
        <v>2</v>
      </c>
      <c r="C66">
        <v>195</v>
      </c>
      <c r="D66">
        <v>2</v>
      </c>
      <c r="E66">
        <v>43</v>
      </c>
      <c r="F66">
        <v>24</v>
      </c>
      <c r="G66">
        <v>10</v>
      </c>
      <c r="J66" s="8">
        <f t="shared" si="5"/>
        <v>4.6511627906976744E-2</v>
      </c>
      <c r="K66" s="8">
        <f t="shared" si="6"/>
        <v>4.5348837209302326</v>
      </c>
      <c r="L66" s="8">
        <f t="shared" si="7"/>
        <v>1.0256410256410256E-2</v>
      </c>
      <c r="M66" s="15">
        <f t="shared" ref="M66:M129" si="8">E66 * F66</f>
        <v>1032</v>
      </c>
      <c r="N66" s="15">
        <f t="shared" ref="N66:N129" si="9">G66 * F66 * 1.5</f>
        <v>360</v>
      </c>
      <c r="O66" s="15">
        <f t="shared" ref="O66:O129" si="10">M66 + N66</f>
        <v>1392</v>
      </c>
      <c r="P66" s="15">
        <f t="shared" ref="P66:P129" si="11">O66 / C66</f>
        <v>7.1384615384615389</v>
      </c>
      <c r="Q66" s="15"/>
    </row>
    <row r="67" spans="1:17">
      <c r="A67" s="2">
        <v>45781</v>
      </c>
      <c r="B67" s="1">
        <f t="shared" ref="B67:B130" ca="1" si="12">RANDBETWEEN(1,3)</f>
        <v>3</v>
      </c>
      <c r="C67">
        <v>350</v>
      </c>
      <c r="D67">
        <v>4</v>
      </c>
      <c r="E67">
        <v>42</v>
      </c>
      <c r="F67">
        <v>22</v>
      </c>
      <c r="G67">
        <v>5</v>
      </c>
      <c r="J67" s="8">
        <f t="shared" ref="J67:J130" si="13">D67/E67</f>
        <v>9.5238095238095233E-2</v>
      </c>
      <c r="K67" s="8">
        <f t="shared" ref="K67:K130" si="14">C67 / E67</f>
        <v>8.3333333333333339</v>
      </c>
      <c r="L67" s="8">
        <f t="shared" ref="L67:L130" si="15">D67 / C67</f>
        <v>1.1428571428571429E-2</v>
      </c>
      <c r="M67" s="15">
        <f t="shared" si="8"/>
        <v>924</v>
      </c>
      <c r="N67" s="15">
        <f t="shared" si="9"/>
        <v>165</v>
      </c>
      <c r="O67" s="15">
        <f t="shared" si="10"/>
        <v>1089</v>
      </c>
      <c r="P67" s="15">
        <f t="shared" si="11"/>
        <v>3.1114285714285712</v>
      </c>
      <c r="Q67" s="15"/>
    </row>
    <row r="68" spans="1:17">
      <c r="A68" s="2">
        <v>45668</v>
      </c>
      <c r="B68" s="1">
        <f t="shared" ca="1" si="12"/>
        <v>3</v>
      </c>
      <c r="C68">
        <v>467</v>
      </c>
      <c r="D68">
        <v>7</v>
      </c>
      <c r="E68">
        <v>110</v>
      </c>
      <c r="F68">
        <v>29</v>
      </c>
      <c r="G68">
        <v>5</v>
      </c>
      <c r="J68" s="8">
        <f t="shared" si="13"/>
        <v>6.363636363636363E-2</v>
      </c>
      <c r="K68" s="8">
        <f t="shared" si="14"/>
        <v>4.2454545454545451</v>
      </c>
      <c r="L68" s="8">
        <f t="shared" si="15"/>
        <v>1.4989293361884369E-2</v>
      </c>
      <c r="M68" s="15">
        <f t="shared" si="8"/>
        <v>3190</v>
      </c>
      <c r="N68" s="15">
        <f t="shared" si="9"/>
        <v>217.5</v>
      </c>
      <c r="O68" s="15">
        <f t="shared" si="10"/>
        <v>3407.5</v>
      </c>
      <c r="P68" s="15">
        <f t="shared" si="11"/>
        <v>7.2965738758029977</v>
      </c>
      <c r="Q68" s="15"/>
    </row>
    <row r="69" spans="1:17">
      <c r="A69" s="2">
        <v>45702</v>
      </c>
      <c r="B69" s="1">
        <f t="shared" ca="1" si="12"/>
        <v>3</v>
      </c>
      <c r="C69">
        <v>193</v>
      </c>
      <c r="D69">
        <v>7</v>
      </c>
      <c r="E69">
        <v>57</v>
      </c>
      <c r="F69">
        <v>18</v>
      </c>
      <c r="G69">
        <v>5</v>
      </c>
      <c r="J69" s="8">
        <f t="shared" si="13"/>
        <v>0.12280701754385964</v>
      </c>
      <c r="K69" s="8">
        <f t="shared" si="14"/>
        <v>3.3859649122807016</v>
      </c>
      <c r="L69" s="8">
        <f t="shared" si="15"/>
        <v>3.6269430051813469E-2</v>
      </c>
      <c r="M69" s="15">
        <f t="shared" si="8"/>
        <v>1026</v>
      </c>
      <c r="N69" s="15">
        <f t="shared" si="9"/>
        <v>135</v>
      </c>
      <c r="O69" s="15">
        <f t="shared" si="10"/>
        <v>1161</v>
      </c>
      <c r="P69" s="15">
        <f t="shared" si="11"/>
        <v>6.0155440414507773</v>
      </c>
      <c r="Q69" s="15"/>
    </row>
    <row r="70" spans="1:17">
      <c r="A70" s="2">
        <v>45727</v>
      </c>
      <c r="B70" s="1">
        <f t="shared" ca="1" si="12"/>
        <v>3</v>
      </c>
      <c r="C70">
        <v>517</v>
      </c>
      <c r="D70">
        <v>9</v>
      </c>
      <c r="E70">
        <v>59</v>
      </c>
      <c r="F70">
        <v>29</v>
      </c>
      <c r="G70">
        <v>7</v>
      </c>
      <c r="J70" s="8">
        <f t="shared" si="13"/>
        <v>0.15254237288135594</v>
      </c>
      <c r="K70" s="8">
        <f t="shared" si="14"/>
        <v>8.7627118644067803</v>
      </c>
      <c r="L70" s="8">
        <f t="shared" si="15"/>
        <v>1.7408123791102514E-2</v>
      </c>
      <c r="M70" s="15">
        <f t="shared" si="8"/>
        <v>1711</v>
      </c>
      <c r="N70" s="15">
        <f t="shared" si="9"/>
        <v>304.5</v>
      </c>
      <c r="O70" s="15">
        <f t="shared" si="10"/>
        <v>2015.5</v>
      </c>
      <c r="P70" s="15">
        <f t="shared" si="11"/>
        <v>3.8984526112185685</v>
      </c>
      <c r="Q70" s="15"/>
    </row>
    <row r="71" spans="1:17">
      <c r="A71" s="2">
        <v>45663</v>
      </c>
      <c r="B71" s="1">
        <f t="shared" ca="1" si="12"/>
        <v>3</v>
      </c>
      <c r="C71">
        <v>451</v>
      </c>
      <c r="D71">
        <v>3</v>
      </c>
      <c r="E71">
        <v>51</v>
      </c>
      <c r="F71">
        <v>20</v>
      </c>
      <c r="G71">
        <v>5</v>
      </c>
      <c r="J71" s="8">
        <f t="shared" si="13"/>
        <v>5.8823529411764705E-2</v>
      </c>
      <c r="K71" s="8">
        <f t="shared" si="14"/>
        <v>8.8431372549019613</v>
      </c>
      <c r="L71" s="8">
        <f t="shared" si="15"/>
        <v>6.6518847006651885E-3</v>
      </c>
      <c r="M71" s="15">
        <f t="shared" si="8"/>
        <v>1020</v>
      </c>
      <c r="N71" s="15">
        <f t="shared" si="9"/>
        <v>150</v>
      </c>
      <c r="O71" s="15">
        <f t="shared" si="10"/>
        <v>1170</v>
      </c>
      <c r="P71" s="15">
        <f t="shared" si="11"/>
        <v>2.5942350332594235</v>
      </c>
      <c r="Q71" s="15"/>
    </row>
    <row r="72" spans="1:17">
      <c r="A72" s="2">
        <v>45787</v>
      </c>
      <c r="B72" s="1">
        <f t="shared" ca="1" si="12"/>
        <v>2</v>
      </c>
      <c r="C72">
        <v>150</v>
      </c>
      <c r="D72">
        <v>10</v>
      </c>
      <c r="E72">
        <v>85</v>
      </c>
      <c r="F72">
        <v>29</v>
      </c>
      <c r="G72">
        <v>9</v>
      </c>
      <c r="J72" s="8">
        <f t="shared" si="13"/>
        <v>0.11764705882352941</v>
      </c>
      <c r="K72" s="8">
        <f t="shared" si="14"/>
        <v>1.7647058823529411</v>
      </c>
      <c r="L72" s="8">
        <f t="shared" si="15"/>
        <v>6.6666666666666666E-2</v>
      </c>
      <c r="M72" s="15">
        <f t="shared" si="8"/>
        <v>2465</v>
      </c>
      <c r="N72" s="15">
        <f t="shared" si="9"/>
        <v>391.5</v>
      </c>
      <c r="O72" s="15">
        <f t="shared" si="10"/>
        <v>2856.5</v>
      </c>
      <c r="P72" s="15">
        <f t="shared" si="11"/>
        <v>19.043333333333333</v>
      </c>
      <c r="Q72" s="15"/>
    </row>
    <row r="73" spans="1:17">
      <c r="A73" s="2">
        <v>45805</v>
      </c>
      <c r="B73" s="1">
        <f t="shared" ca="1" si="12"/>
        <v>3</v>
      </c>
      <c r="C73">
        <v>339</v>
      </c>
      <c r="D73">
        <v>3</v>
      </c>
      <c r="E73">
        <v>42</v>
      </c>
      <c r="F73">
        <v>21</v>
      </c>
      <c r="G73">
        <v>7</v>
      </c>
      <c r="J73" s="8">
        <f t="shared" si="13"/>
        <v>7.1428571428571425E-2</v>
      </c>
      <c r="K73" s="8">
        <f t="shared" si="14"/>
        <v>8.0714285714285712</v>
      </c>
      <c r="L73" s="8">
        <f t="shared" si="15"/>
        <v>8.8495575221238937E-3</v>
      </c>
      <c r="M73" s="15">
        <f t="shared" si="8"/>
        <v>882</v>
      </c>
      <c r="N73" s="15">
        <f t="shared" si="9"/>
        <v>220.5</v>
      </c>
      <c r="O73" s="15">
        <f t="shared" si="10"/>
        <v>1102.5</v>
      </c>
      <c r="P73" s="15">
        <f t="shared" si="11"/>
        <v>3.252212389380531</v>
      </c>
      <c r="Q73" s="15"/>
    </row>
    <row r="74" spans="1:17">
      <c r="A74" s="2">
        <v>45928</v>
      </c>
      <c r="B74" s="1">
        <f t="shared" ca="1" si="12"/>
        <v>3</v>
      </c>
      <c r="C74">
        <v>259</v>
      </c>
      <c r="D74">
        <v>4</v>
      </c>
      <c r="E74">
        <v>95</v>
      </c>
      <c r="F74">
        <v>25</v>
      </c>
      <c r="G74">
        <v>6</v>
      </c>
      <c r="J74" s="8">
        <f t="shared" si="13"/>
        <v>4.2105263157894736E-2</v>
      </c>
      <c r="K74" s="8">
        <f t="shared" si="14"/>
        <v>2.7263157894736842</v>
      </c>
      <c r="L74" s="8">
        <f t="shared" si="15"/>
        <v>1.5444015444015444E-2</v>
      </c>
      <c r="M74" s="15">
        <f t="shared" si="8"/>
        <v>2375</v>
      </c>
      <c r="N74" s="15">
        <f t="shared" si="9"/>
        <v>225</v>
      </c>
      <c r="O74" s="15">
        <f t="shared" si="10"/>
        <v>2600</v>
      </c>
      <c r="P74" s="15">
        <f t="shared" si="11"/>
        <v>10.038610038610038</v>
      </c>
      <c r="Q74" s="15"/>
    </row>
    <row r="75" spans="1:17">
      <c r="A75" s="2">
        <v>45998</v>
      </c>
      <c r="B75" s="1">
        <f t="shared" ca="1" si="12"/>
        <v>1</v>
      </c>
      <c r="C75">
        <v>411</v>
      </c>
      <c r="D75">
        <v>9</v>
      </c>
      <c r="E75">
        <v>58</v>
      </c>
      <c r="F75">
        <v>27</v>
      </c>
      <c r="G75">
        <v>8</v>
      </c>
      <c r="J75" s="8">
        <f t="shared" si="13"/>
        <v>0.15517241379310345</v>
      </c>
      <c r="K75" s="8">
        <f t="shared" si="14"/>
        <v>7.0862068965517242</v>
      </c>
      <c r="L75" s="8">
        <f t="shared" si="15"/>
        <v>2.1897810218978103E-2</v>
      </c>
      <c r="M75" s="15">
        <f t="shared" si="8"/>
        <v>1566</v>
      </c>
      <c r="N75" s="15">
        <f t="shared" si="9"/>
        <v>324</v>
      </c>
      <c r="O75" s="15">
        <f t="shared" si="10"/>
        <v>1890</v>
      </c>
      <c r="P75" s="15">
        <f t="shared" si="11"/>
        <v>4.5985401459854014</v>
      </c>
      <c r="Q75" s="15"/>
    </row>
    <row r="76" spans="1:17">
      <c r="A76" s="2">
        <v>45772</v>
      </c>
      <c r="B76" s="1">
        <f t="shared" ca="1" si="12"/>
        <v>3</v>
      </c>
      <c r="C76">
        <v>446</v>
      </c>
      <c r="D76">
        <v>2</v>
      </c>
      <c r="E76">
        <v>116</v>
      </c>
      <c r="F76">
        <v>26</v>
      </c>
      <c r="G76">
        <v>8</v>
      </c>
      <c r="J76" s="8">
        <f t="shared" si="13"/>
        <v>1.7241379310344827E-2</v>
      </c>
      <c r="K76" s="8">
        <f t="shared" si="14"/>
        <v>3.8448275862068964</v>
      </c>
      <c r="L76" s="8">
        <f t="shared" si="15"/>
        <v>4.4843049327354259E-3</v>
      </c>
      <c r="M76" s="15">
        <f t="shared" si="8"/>
        <v>3016</v>
      </c>
      <c r="N76" s="15">
        <f t="shared" si="9"/>
        <v>312</v>
      </c>
      <c r="O76" s="15">
        <f t="shared" si="10"/>
        <v>3328</v>
      </c>
      <c r="P76" s="15">
        <f t="shared" si="11"/>
        <v>7.4618834080717491</v>
      </c>
      <c r="Q76" s="15"/>
    </row>
    <row r="77" spans="1:17">
      <c r="A77" s="2">
        <v>45725</v>
      </c>
      <c r="B77" s="1">
        <f t="shared" ca="1" si="12"/>
        <v>1</v>
      </c>
      <c r="C77">
        <v>272</v>
      </c>
      <c r="D77">
        <v>6</v>
      </c>
      <c r="E77">
        <v>107</v>
      </c>
      <c r="F77">
        <v>28</v>
      </c>
      <c r="G77">
        <v>9</v>
      </c>
      <c r="J77" s="8">
        <f t="shared" si="13"/>
        <v>5.6074766355140186E-2</v>
      </c>
      <c r="K77" s="8">
        <f t="shared" si="14"/>
        <v>2.542056074766355</v>
      </c>
      <c r="L77" s="8">
        <f t="shared" si="15"/>
        <v>2.2058823529411766E-2</v>
      </c>
      <c r="M77" s="15">
        <f t="shared" si="8"/>
        <v>2996</v>
      </c>
      <c r="N77" s="15">
        <f t="shared" si="9"/>
        <v>378</v>
      </c>
      <c r="O77" s="15">
        <f t="shared" si="10"/>
        <v>3374</v>
      </c>
      <c r="P77" s="15">
        <f t="shared" si="11"/>
        <v>12.404411764705882</v>
      </c>
      <c r="Q77" s="15"/>
    </row>
    <row r="78" spans="1:17">
      <c r="A78" s="2">
        <v>45932</v>
      </c>
      <c r="B78" s="1">
        <f t="shared" ca="1" si="12"/>
        <v>3</v>
      </c>
      <c r="C78">
        <v>151</v>
      </c>
      <c r="D78">
        <v>10</v>
      </c>
      <c r="E78">
        <v>99</v>
      </c>
      <c r="F78">
        <v>29</v>
      </c>
      <c r="G78">
        <v>6</v>
      </c>
      <c r="J78" s="8">
        <f t="shared" si="13"/>
        <v>0.10101010101010101</v>
      </c>
      <c r="K78" s="8">
        <f t="shared" si="14"/>
        <v>1.5252525252525253</v>
      </c>
      <c r="L78" s="8">
        <f t="shared" si="15"/>
        <v>6.6225165562913912E-2</v>
      </c>
      <c r="M78" s="15">
        <f t="shared" si="8"/>
        <v>2871</v>
      </c>
      <c r="N78" s="15">
        <f t="shared" si="9"/>
        <v>261</v>
      </c>
      <c r="O78" s="15">
        <f t="shared" si="10"/>
        <v>3132</v>
      </c>
      <c r="P78" s="15">
        <f t="shared" si="11"/>
        <v>20.741721854304636</v>
      </c>
      <c r="Q78" s="15"/>
    </row>
    <row r="79" spans="1:17">
      <c r="A79" s="2">
        <v>45964</v>
      </c>
      <c r="B79" s="1">
        <f t="shared" ca="1" si="12"/>
        <v>3</v>
      </c>
      <c r="C79">
        <v>292</v>
      </c>
      <c r="D79">
        <v>10</v>
      </c>
      <c r="E79">
        <v>47</v>
      </c>
      <c r="F79">
        <v>27</v>
      </c>
      <c r="G79">
        <v>8</v>
      </c>
      <c r="J79" s="8">
        <f t="shared" si="13"/>
        <v>0.21276595744680851</v>
      </c>
      <c r="K79" s="8">
        <f t="shared" si="14"/>
        <v>6.2127659574468082</v>
      </c>
      <c r="L79" s="8">
        <f t="shared" si="15"/>
        <v>3.4246575342465752E-2</v>
      </c>
      <c r="M79" s="15">
        <f t="shared" si="8"/>
        <v>1269</v>
      </c>
      <c r="N79" s="15">
        <f t="shared" si="9"/>
        <v>324</v>
      </c>
      <c r="O79" s="15">
        <f t="shared" si="10"/>
        <v>1593</v>
      </c>
      <c r="P79" s="15">
        <f t="shared" si="11"/>
        <v>5.4554794520547949</v>
      </c>
      <c r="Q79" s="15"/>
    </row>
    <row r="80" spans="1:17">
      <c r="A80" s="2">
        <v>45684</v>
      </c>
      <c r="B80" s="1">
        <f t="shared" ca="1" si="12"/>
        <v>3</v>
      </c>
      <c r="C80">
        <v>335</v>
      </c>
      <c r="D80">
        <v>3</v>
      </c>
      <c r="E80">
        <v>108</v>
      </c>
      <c r="F80">
        <v>21</v>
      </c>
      <c r="G80">
        <v>8</v>
      </c>
      <c r="J80" s="8">
        <f t="shared" si="13"/>
        <v>2.7777777777777776E-2</v>
      </c>
      <c r="K80" s="8">
        <f t="shared" si="14"/>
        <v>3.1018518518518516</v>
      </c>
      <c r="L80" s="8">
        <f t="shared" si="15"/>
        <v>8.9552238805970154E-3</v>
      </c>
      <c r="M80" s="15">
        <f t="shared" si="8"/>
        <v>2268</v>
      </c>
      <c r="N80" s="15">
        <f t="shared" si="9"/>
        <v>252</v>
      </c>
      <c r="O80" s="15">
        <f t="shared" si="10"/>
        <v>2520</v>
      </c>
      <c r="P80" s="15">
        <f t="shared" si="11"/>
        <v>7.5223880597014929</v>
      </c>
      <c r="Q80" s="15"/>
    </row>
    <row r="81" spans="1:17">
      <c r="A81" s="2">
        <v>45682</v>
      </c>
      <c r="B81" s="1">
        <f t="shared" ca="1" si="12"/>
        <v>3</v>
      </c>
      <c r="C81">
        <v>195</v>
      </c>
      <c r="D81">
        <v>5</v>
      </c>
      <c r="E81">
        <v>41</v>
      </c>
      <c r="F81">
        <v>22</v>
      </c>
      <c r="G81">
        <v>9</v>
      </c>
      <c r="J81" s="8">
        <f t="shared" si="13"/>
        <v>0.12195121951219512</v>
      </c>
      <c r="K81" s="8">
        <f t="shared" si="14"/>
        <v>4.7560975609756095</v>
      </c>
      <c r="L81" s="8">
        <f t="shared" si="15"/>
        <v>2.564102564102564E-2</v>
      </c>
      <c r="M81" s="15">
        <f t="shared" si="8"/>
        <v>902</v>
      </c>
      <c r="N81" s="15">
        <f t="shared" si="9"/>
        <v>297</v>
      </c>
      <c r="O81" s="15">
        <f t="shared" si="10"/>
        <v>1199</v>
      </c>
      <c r="P81" s="15">
        <f t="shared" si="11"/>
        <v>6.1487179487179491</v>
      </c>
      <c r="Q81" s="15"/>
    </row>
    <row r="82" spans="1:17">
      <c r="A82" s="2">
        <v>45866</v>
      </c>
      <c r="B82" s="1">
        <f t="shared" ca="1" si="12"/>
        <v>1</v>
      </c>
      <c r="C82">
        <v>428</v>
      </c>
      <c r="D82">
        <v>4</v>
      </c>
      <c r="E82">
        <v>92</v>
      </c>
      <c r="F82">
        <v>29</v>
      </c>
      <c r="G82">
        <v>5</v>
      </c>
      <c r="J82" s="8">
        <f t="shared" si="13"/>
        <v>4.3478260869565216E-2</v>
      </c>
      <c r="K82" s="8">
        <f t="shared" si="14"/>
        <v>4.6521739130434785</v>
      </c>
      <c r="L82" s="8">
        <f t="shared" si="15"/>
        <v>9.3457943925233638E-3</v>
      </c>
      <c r="M82" s="15">
        <f t="shared" si="8"/>
        <v>2668</v>
      </c>
      <c r="N82" s="15">
        <f t="shared" si="9"/>
        <v>217.5</v>
      </c>
      <c r="O82" s="15">
        <f t="shared" si="10"/>
        <v>2885.5</v>
      </c>
      <c r="P82" s="15">
        <f t="shared" si="11"/>
        <v>6.7418224299065423</v>
      </c>
      <c r="Q82" s="15"/>
    </row>
    <row r="83" spans="1:17">
      <c r="A83" s="2">
        <v>45763</v>
      </c>
      <c r="B83" s="1">
        <f t="shared" ca="1" si="12"/>
        <v>3</v>
      </c>
      <c r="C83">
        <v>173</v>
      </c>
      <c r="D83">
        <v>5</v>
      </c>
      <c r="E83">
        <v>120</v>
      </c>
      <c r="F83">
        <v>24</v>
      </c>
      <c r="G83">
        <v>7</v>
      </c>
      <c r="J83" s="8">
        <f t="shared" si="13"/>
        <v>4.1666666666666664E-2</v>
      </c>
      <c r="K83" s="8">
        <f t="shared" si="14"/>
        <v>1.4416666666666667</v>
      </c>
      <c r="L83" s="8">
        <f t="shared" si="15"/>
        <v>2.8901734104046242E-2</v>
      </c>
      <c r="M83" s="15">
        <f t="shared" si="8"/>
        <v>2880</v>
      </c>
      <c r="N83" s="15">
        <f t="shared" si="9"/>
        <v>252</v>
      </c>
      <c r="O83" s="15">
        <f t="shared" si="10"/>
        <v>3132</v>
      </c>
      <c r="P83" s="15">
        <f t="shared" si="11"/>
        <v>18.104046242774565</v>
      </c>
      <c r="Q83" s="15"/>
    </row>
    <row r="84" spans="1:17">
      <c r="A84" s="2">
        <v>45844</v>
      </c>
      <c r="B84" s="1">
        <f t="shared" ca="1" si="12"/>
        <v>3</v>
      </c>
      <c r="C84">
        <v>419</v>
      </c>
      <c r="D84">
        <v>4</v>
      </c>
      <c r="E84">
        <v>65</v>
      </c>
      <c r="F84">
        <v>24</v>
      </c>
      <c r="G84">
        <v>9</v>
      </c>
      <c r="J84" s="8">
        <f t="shared" si="13"/>
        <v>6.1538461538461542E-2</v>
      </c>
      <c r="K84" s="8">
        <f t="shared" si="14"/>
        <v>6.4461538461538463</v>
      </c>
      <c r="L84" s="8">
        <f t="shared" si="15"/>
        <v>9.5465393794749408E-3</v>
      </c>
      <c r="M84" s="15">
        <f t="shared" si="8"/>
        <v>1560</v>
      </c>
      <c r="N84" s="15">
        <f t="shared" si="9"/>
        <v>324</v>
      </c>
      <c r="O84" s="15">
        <f t="shared" si="10"/>
        <v>1884</v>
      </c>
      <c r="P84" s="15">
        <f t="shared" si="11"/>
        <v>4.4964200477326965</v>
      </c>
      <c r="Q84" s="15"/>
    </row>
    <row r="85" spans="1:17">
      <c r="A85" s="2">
        <v>45834</v>
      </c>
      <c r="B85" s="1">
        <f t="shared" ca="1" si="12"/>
        <v>1</v>
      </c>
      <c r="C85">
        <v>335</v>
      </c>
      <c r="D85">
        <v>9</v>
      </c>
      <c r="E85">
        <v>113</v>
      </c>
      <c r="F85">
        <v>19</v>
      </c>
      <c r="G85">
        <v>8</v>
      </c>
      <c r="J85" s="8">
        <f t="shared" si="13"/>
        <v>7.9646017699115043E-2</v>
      </c>
      <c r="K85" s="8">
        <f t="shared" si="14"/>
        <v>2.9646017699115044</v>
      </c>
      <c r="L85" s="8">
        <f t="shared" si="15"/>
        <v>2.6865671641791045E-2</v>
      </c>
      <c r="M85" s="15">
        <f t="shared" si="8"/>
        <v>2147</v>
      </c>
      <c r="N85" s="15">
        <f t="shared" si="9"/>
        <v>228</v>
      </c>
      <c r="O85" s="15">
        <f t="shared" si="10"/>
        <v>2375</v>
      </c>
      <c r="P85" s="15">
        <f t="shared" si="11"/>
        <v>7.08955223880597</v>
      </c>
      <c r="Q85" s="15"/>
    </row>
    <row r="86" spans="1:17">
      <c r="A86" s="2">
        <v>45749</v>
      </c>
      <c r="B86" s="1">
        <f t="shared" ca="1" si="12"/>
        <v>1</v>
      </c>
      <c r="C86">
        <v>333</v>
      </c>
      <c r="D86">
        <v>5</v>
      </c>
      <c r="E86">
        <v>65</v>
      </c>
      <c r="F86">
        <v>22</v>
      </c>
      <c r="G86">
        <v>10</v>
      </c>
      <c r="J86" s="8">
        <f t="shared" si="13"/>
        <v>7.6923076923076927E-2</v>
      </c>
      <c r="K86" s="8">
        <f t="shared" si="14"/>
        <v>5.1230769230769226</v>
      </c>
      <c r="L86" s="8">
        <f t="shared" si="15"/>
        <v>1.5015015015015015E-2</v>
      </c>
      <c r="M86" s="15">
        <f t="shared" si="8"/>
        <v>1430</v>
      </c>
      <c r="N86" s="15">
        <f t="shared" si="9"/>
        <v>330</v>
      </c>
      <c r="O86" s="15">
        <f t="shared" si="10"/>
        <v>1760</v>
      </c>
      <c r="P86" s="15">
        <f t="shared" si="11"/>
        <v>5.2852852852852852</v>
      </c>
      <c r="Q86" s="15"/>
    </row>
    <row r="87" spans="1:17">
      <c r="A87" s="2">
        <v>45935</v>
      </c>
      <c r="B87" s="1">
        <f t="shared" ca="1" si="12"/>
        <v>3</v>
      </c>
      <c r="C87">
        <v>528</v>
      </c>
      <c r="D87">
        <v>2</v>
      </c>
      <c r="E87">
        <v>63</v>
      </c>
      <c r="F87">
        <v>29</v>
      </c>
      <c r="G87">
        <v>9</v>
      </c>
      <c r="J87" s="8">
        <f t="shared" si="13"/>
        <v>3.1746031746031744E-2</v>
      </c>
      <c r="K87" s="8">
        <f t="shared" si="14"/>
        <v>8.3809523809523814</v>
      </c>
      <c r="L87" s="8">
        <f t="shared" si="15"/>
        <v>3.787878787878788E-3</v>
      </c>
      <c r="M87" s="15">
        <f t="shared" si="8"/>
        <v>1827</v>
      </c>
      <c r="N87" s="15">
        <f t="shared" si="9"/>
        <v>391.5</v>
      </c>
      <c r="O87" s="15">
        <f t="shared" si="10"/>
        <v>2218.5</v>
      </c>
      <c r="P87" s="15">
        <f t="shared" si="11"/>
        <v>4.2017045454545459</v>
      </c>
      <c r="Q87" s="15"/>
    </row>
    <row r="88" spans="1:17">
      <c r="A88" s="2">
        <v>45901</v>
      </c>
      <c r="B88" s="1">
        <f t="shared" ca="1" si="12"/>
        <v>2</v>
      </c>
      <c r="C88">
        <v>447</v>
      </c>
      <c r="D88">
        <v>4</v>
      </c>
      <c r="E88">
        <v>81</v>
      </c>
      <c r="F88">
        <v>27</v>
      </c>
      <c r="G88">
        <v>10</v>
      </c>
      <c r="J88" s="8">
        <f t="shared" si="13"/>
        <v>4.9382716049382713E-2</v>
      </c>
      <c r="K88" s="8">
        <f t="shared" si="14"/>
        <v>5.5185185185185182</v>
      </c>
      <c r="L88" s="8">
        <f t="shared" si="15"/>
        <v>8.948545861297539E-3</v>
      </c>
      <c r="M88" s="15">
        <f t="shared" si="8"/>
        <v>2187</v>
      </c>
      <c r="N88" s="15">
        <f t="shared" si="9"/>
        <v>405</v>
      </c>
      <c r="O88" s="15">
        <f t="shared" si="10"/>
        <v>2592</v>
      </c>
      <c r="P88" s="15">
        <f t="shared" si="11"/>
        <v>5.798657718120805</v>
      </c>
      <c r="Q88" s="15"/>
    </row>
    <row r="89" spans="1:17">
      <c r="A89" s="2">
        <v>45937</v>
      </c>
      <c r="B89" s="1">
        <f t="shared" ca="1" si="12"/>
        <v>1</v>
      </c>
      <c r="C89">
        <v>482</v>
      </c>
      <c r="D89">
        <v>9</v>
      </c>
      <c r="E89">
        <v>112</v>
      </c>
      <c r="F89">
        <v>25</v>
      </c>
      <c r="G89">
        <v>8</v>
      </c>
      <c r="J89" s="8">
        <f t="shared" si="13"/>
        <v>8.0357142857142863E-2</v>
      </c>
      <c r="K89" s="8">
        <f t="shared" si="14"/>
        <v>4.3035714285714288</v>
      </c>
      <c r="L89" s="8">
        <f t="shared" si="15"/>
        <v>1.8672199170124481E-2</v>
      </c>
      <c r="M89" s="15">
        <f t="shared" si="8"/>
        <v>2800</v>
      </c>
      <c r="N89" s="15">
        <f t="shared" si="9"/>
        <v>300</v>
      </c>
      <c r="O89" s="15">
        <f t="shared" si="10"/>
        <v>3100</v>
      </c>
      <c r="P89" s="15">
        <f t="shared" si="11"/>
        <v>6.4315352697095438</v>
      </c>
      <c r="Q89" s="15"/>
    </row>
    <row r="90" spans="1:17">
      <c r="A90" s="2">
        <v>45890</v>
      </c>
      <c r="B90" s="1">
        <f t="shared" ca="1" si="12"/>
        <v>1</v>
      </c>
      <c r="C90">
        <v>533</v>
      </c>
      <c r="D90">
        <v>7</v>
      </c>
      <c r="E90">
        <v>51</v>
      </c>
      <c r="F90">
        <v>19</v>
      </c>
      <c r="G90">
        <v>8</v>
      </c>
      <c r="J90" s="8">
        <f t="shared" si="13"/>
        <v>0.13725490196078433</v>
      </c>
      <c r="K90" s="8">
        <f t="shared" si="14"/>
        <v>10.450980392156863</v>
      </c>
      <c r="L90" s="8">
        <f t="shared" si="15"/>
        <v>1.3133208255159476E-2</v>
      </c>
      <c r="M90" s="15">
        <f t="shared" si="8"/>
        <v>969</v>
      </c>
      <c r="N90" s="15">
        <f t="shared" si="9"/>
        <v>228</v>
      </c>
      <c r="O90" s="15">
        <f t="shared" si="10"/>
        <v>1197</v>
      </c>
      <c r="P90" s="15">
        <f t="shared" si="11"/>
        <v>2.2457786116322702</v>
      </c>
      <c r="Q90" s="15"/>
    </row>
    <row r="91" spans="1:17">
      <c r="A91" s="2">
        <v>45986</v>
      </c>
      <c r="B91" s="1">
        <f t="shared" ca="1" si="12"/>
        <v>1</v>
      </c>
      <c r="C91">
        <v>376</v>
      </c>
      <c r="D91">
        <v>2</v>
      </c>
      <c r="E91">
        <v>63</v>
      </c>
      <c r="F91">
        <v>24</v>
      </c>
      <c r="G91">
        <v>5</v>
      </c>
      <c r="J91" s="8">
        <f t="shared" si="13"/>
        <v>3.1746031746031744E-2</v>
      </c>
      <c r="K91" s="8">
        <f t="shared" si="14"/>
        <v>5.9682539682539684</v>
      </c>
      <c r="L91" s="8">
        <f t="shared" si="15"/>
        <v>5.3191489361702126E-3</v>
      </c>
      <c r="M91" s="15">
        <f t="shared" si="8"/>
        <v>1512</v>
      </c>
      <c r="N91" s="15">
        <f t="shared" si="9"/>
        <v>180</v>
      </c>
      <c r="O91" s="15">
        <f t="shared" si="10"/>
        <v>1692</v>
      </c>
      <c r="P91" s="15">
        <f t="shared" si="11"/>
        <v>4.5</v>
      </c>
      <c r="Q91" s="15"/>
    </row>
    <row r="92" spans="1:17">
      <c r="A92" s="2">
        <v>45935</v>
      </c>
      <c r="B92" s="1">
        <f t="shared" ca="1" si="12"/>
        <v>3</v>
      </c>
      <c r="C92">
        <v>208</v>
      </c>
      <c r="D92">
        <v>9</v>
      </c>
      <c r="E92">
        <v>84</v>
      </c>
      <c r="F92">
        <v>21</v>
      </c>
      <c r="G92">
        <v>10</v>
      </c>
      <c r="J92" s="8">
        <f t="shared" si="13"/>
        <v>0.10714285714285714</v>
      </c>
      <c r="K92" s="8">
        <f t="shared" si="14"/>
        <v>2.4761904761904763</v>
      </c>
      <c r="L92" s="8">
        <f t="shared" si="15"/>
        <v>4.3269230769230768E-2</v>
      </c>
      <c r="M92" s="15">
        <f t="shared" si="8"/>
        <v>1764</v>
      </c>
      <c r="N92" s="15">
        <f t="shared" si="9"/>
        <v>315</v>
      </c>
      <c r="O92" s="15">
        <f t="shared" si="10"/>
        <v>2079</v>
      </c>
      <c r="P92" s="15">
        <f t="shared" si="11"/>
        <v>9.9951923076923084</v>
      </c>
      <c r="Q92" s="15"/>
    </row>
    <row r="93" spans="1:17">
      <c r="A93" s="2">
        <v>45788</v>
      </c>
      <c r="B93" s="1">
        <f t="shared" ca="1" si="12"/>
        <v>2</v>
      </c>
      <c r="C93">
        <v>559</v>
      </c>
      <c r="D93">
        <v>2</v>
      </c>
      <c r="E93">
        <v>76</v>
      </c>
      <c r="F93">
        <v>20</v>
      </c>
      <c r="G93">
        <v>5</v>
      </c>
      <c r="J93" s="8">
        <f t="shared" si="13"/>
        <v>2.6315789473684209E-2</v>
      </c>
      <c r="K93" s="8">
        <f t="shared" si="14"/>
        <v>7.3552631578947372</v>
      </c>
      <c r="L93" s="8">
        <f t="shared" si="15"/>
        <v>3.5778175313059034E-3</v>
      </c>
      <c r="M93" s="15">
        <f t="shared" si="8"/>
        <v>1520</v>
      </c>
      <c r="N93" s="15">
        <f t="shared" si="9"/>
        <v>150</v>
      </c>
      <c r="O93" s="15">
        <f t="shared" si="10"/>
        <v>1670</v>
      </c>
      <c r="P93" s="15">
        <f t="shared" si="11"/>
        <v>2.9874776386404291</v>
      </c>
      <c r="Q93" s="15"/>
    </row>
    <row r="94" spans="1:17">
      <c r="A94" s="2">
        <v>45666</v>
      </c>
      <c r="B94" s="1">
        <f t="shared" ca="1" si="12"/>
        <v>1</v>
      </c>
      <c r="C94">
        <v>446</v>
      </c>
      <c r="D94">
        <v>3</v>
      </c>
      <c r="E94">
        <v>69</v>
      </c>
      <c r="F94">
        <v>18</v>
      </c>
      <c r="G94">
        <v>9</v>
      </c>
      <c r="J94" s="8">
        <f t="shared" si="13"/>
        <v>4.3478260869565216E-2</v>
      </c>
      <c r="K94" s="8">
        <f t="shared" si="14"/>
        <v>6.4637681159420293</v>
      </c>
      <c r="L94" s="8">
        <f t="shared" si="15"/>
        <v>6.7264573991031393E-3</v>
      </c>
      <c r="M94" s="15">
        <f t="shared" si="8"/>
        <v>1242</v>
      </c>
      <c r="N94" s="15">
        <f t="shared" si="9"/>
        <v>243</v>
      </c>
      <c r="O94" s="15">
        <f t="shared" si="10"/>
        <v>1485</v>
      </c>
      <c r="P94" s="15">
        <f t="shared" si="11"/>
        <v>3.3295964125560538</v>
      </c>
      <c r="Q94" s="15"/>
    </row>
    <row r="95" spans="1:17">
      <c r="A95" s="2">
        <v>45815</v>
      </c>
      <c r="B95" s="1">
        <f t="shared" ca="1" si="12"/>
        <v>1</v>
      </c>
      <c r="C95">
        <v>218</v>
      </c>
      <c r="D95">
        <v>10</v>
      </c>
      <c r="E95">
        <v>110</v>
      </c>
      <c r="F95">
        <v>19</v>
      </c>
      <c r="G95">
        <v>6</v>
      </c>
      <c r="J95" s="8">
        <f t="shared" si="13"/>
        <v>9.0909090909090912E-2</v>
      </c>
      <c r="K95" s="8">
        <f t="shared" si="14"/>
        <v>1.9818181818181819</v>
      </c>
      <c r="L95" s="8">
        <f t="shared" si="15"/>
        <v>4.5871559633027525E-2</v>
      </c>
      <c r="M95" s="15">
        <f t="shared" si="8"/>
        <v>2090</v>
      </c>
      <c r="N95" s="15">
        <f t="shared" si="9"/>
        <v>171</v>
      </c>
      <c r="O95" s="15">
        <f t="shared" si="10"/>
        <v>2261</v>
      </c>
      <c r="P95" s="15">
        <f t="shared" si="11"/>
        <v>10.371559633027523</v>
      </c>
      <c r="Q95" s="15"/>
    </row>
    <row r="96" spans="1:17">
      <c r="A96" s="2">
        <v>45906</v>
      </c>
      <c r="B96" s="1">
        <f t="shared" ca="1" si="12"/>
        <v>2</v>
      </c>
      <c r="C96">
        <v>465</v>
      </c>
      <c r="D96">
        <v>10</v>
      </c>
      <c r="E96">
        <v>97</v>
      </c>
      <c r="F96">
        <v>25</v>
      </c>
      <c r="G96">
        <v>10</v>
      </c>
      <c r="J96" s="8">
        <f t="shared" si="13"/>
        <v>0.10309278350515463</v>
      </c>
      <c r="K96" s="8">
        <f t="shared" si="14"/>
        <v>4.7938144329896906</v>
      </c>
      <c r="L96" s="8">
        <f t="shared" si="15"/>
        <v>2.1505376344086023E-2</v>
      </c>
      <c r="M96" s="15">
        <f t="shared" si="8"/>
        <v>2425</v>
      </c>
      <c r="N96" s="15">
        <f t="shared" si="9"/>
        <v>375</v>
      </c>
      <c r="O96" s="15">
        <f t="shared" si="10"/>
        <v>2800</v>
      </c>
      <c r="P96" s="15">
        <f t="shared" si="11"/>
        <v>6.021505376344086</v>
      </c>
      <c r="Q96" s="15"/>
    </row>
    <row r="97" spans="1:17">
      <c r="A97" s="2">
        <v>45804</v>
      </c>
      <c r="B97" s="1">
        <f t="shared" ca="1" si="12"/>
        <v>2</v>
      </c>
      <c r="C97">
        <v>203</v>
      </c>
      <c r="D97">
        <v>5</v>
      </c>
      <c r="E97">
        <v>71</v>
      </c>
      <c r="F97">
        <v>26</v>
      </c>
      <c r="G97">
        <v>5</v>
      </c>
      <c r="J97" s="8">
        <f t="shared" si="13"/>
        <v>7.0422535211267609E-2</v>
      </c>
      <c r="K97" s="8">
        <f t="shared" si="14"/>
        <v>2.859154929577465</v>
      </c>
      <c r="L97" s="8">
        <f t="shared" si="15"/>
        <v>2.4630541871921183E-2</v>
      </c>
      <c r="M97" s="15">
        <f t="shared" si="8"/>
        <v>1846</v>
      </c>
      <c r="N97" s="15">
        <f t="shared" si="9"/>
        <v>195</v>
      </c>
      <c r="O97" s="15">
        <f t="shared" si="10"/>
        <v>2041</v>
      </c>
      <c r="P97" s="15">
        <f t="shared" si="11"/>
        <v>10.054187192118226</v>
      </c>
      <c r="Q97" s="15"/>
    </row>
    <row r="98" spans="1:17">
      <c r="A98" s="2">
        <v>46015</v>
      </c>
      <c r="B98" s="1">
        <f t="shared" ca="1" si="12"/>
        <v>3</v>
      </c>
      <c r="C98">
        <v>440</v>
      </c>
      <c r="D98">
        <v>2</v>
      </c>
      <c r="E98">
        <v>80</v>
      </c>
      <c r="F98">
        <v>22</v>
      </c>
      <c r="G98">
        <v>9</v>
      </c>
      <c r="J98" s="8">
        <f t="shared" si="13"/>
        <v>2.5000000000000001E-2</v>
      </c>
      <c r="K98" s="8">
        <f t="shared" si="14"/>
        <v>5.5</v>
      </c>
      <c r="L98" s="8">
        <f t="shared" si="15"/>
        <v>4.5454545454545452E-3</v>
      </c>
      <c r="M98" s="15">
        <f t="shared" si="8"/>
        <v>1760</v>
      </c>
      <c r="N98" s="15">
        <f t="shared" si="9"/>
        <v>297</v>
      </c>
      <c r="O98" s="15">
        <f t="shared" si="10"/>
        <v>2057</v>
      </c>
      <c r="P98" s="15">
        <f t="shared" si="11"/>
        <v>4.6749999999999998</v>
      </c>
      <c r="Q98" s="15"/>
    </row>
    <row r="99" spans="1:17">
      <c r="A99" s="2">
        <v>45726</v>
      </c>
      <c r="B99" s="1">
        <f t="shared" ca="1" si="12"/>
        <v>2</v>
      </c>
      <c r="C99">
        <v>177</v>
      </c>
      <c r="D99">
        <v>3</v>
      </c>
      <c r="E99">
        <v>101</v>
      </c>
      <c r="F99">
        <v>29</v>
      </c>
      <c r="G99">
        <v>6</v>
      </c>
      <c r="J99" s="8">
        <f t="shared" si="13"/>
        <v>2.9702970297029702E-2</v>
      </c>
      <c r="K99" s="8">
        <f t="shared" si="14"/>
        <v>1.7524752475247525</v>
      </c>
      <c r="L99" s="8">
        <f t="shared" si="15"/>
        <v>1.6949152542372881E-2</v>
      </c>
      <c r="M99" s="15">
        <f t="shared" si="8"/>
        <v>2929</v>
      </c>
      <c r="N99" s="15">
        <f t="shared" si="9"/>
        <v>261</v>
      </c>
      <c r="O99" s="15">
        <f t="shared" si="10"/>
        <v>3190</v>
      </c>
      <c r="P99" s="15">
        <f t="shared" si="11"/>
        <v>18.022598870056498</v>
      </c>
      <c r="Q99" s="15"/>
    </row>
    <row r="100" spans="1:17">
      <c r="A100" s="2">
        <v>45827</v>
      </c>
      <c r="B100" s="1">
        <f t="shared" ca="1" si="12"/>
        <v>3</v>
      </c>
      <c r="C100">
        <v>239</v>
      </c>
      <c r="D100">
        <v>8</v>
      </c>
      <c r="E100">
        <v>77</v>
      </c>
      <c r="F100">
        <v>23</v>
      </c>
      <c r="G100">
        <v>9</v>
      </c>
      <c r="J100" s="8">
        <f t="shared" si="13"/>
        <v>0.1038961038961039</v>
      </c>
      <c r="K100" s="8">
        <f t="shared" si="14"/>
        <v>3.1038961038961039</v>
      </c>
      <c r="L100" s="8">
        <f t="shared" si="15"/>
        <v>3.3472803347280332E-2</v>
      </c>
      <c r="M100" s="15">
        <f t="shared" si="8"/>
        <v>1771</v>
      </c>
      <c r="N100" s="15">
        <f t="shared" si="9"/>
        <v>310.5</v>
      </c>
      <c r="O100" s="15">
        <f t="shared" si="10"/>
        <v>2081.5</v>
      </c>
      <c r="P100" s="15">
        <f t="shared" si="11"/>
        <v>8.7092050209205016</v>
      </c>
      <c r="Q100" s="15"/>
    </row>
    <row r="101" spans="1:17">
      <c r="A101" s="2">
        <v>45774</v>
      </c>
      <c r="B101" s="1">
        <f t="shared" ca="1" si="12"/>
        <v>2</v>
      </c>
      <c r="C101">
        <v>435</v>
      </c>
      <c r="D101">
        <v>7</v>
      </c>
      <c r="E101">
        <v>73</v>
      </c>
      <c r="F101">
        <v>18</v>
      </c>
      <c r="G101">
        <v>10</v>
      </c>
      <c r="J101" s="8">
        <f t="shared" si="13"/>
        <v>9.5890410958904104E-2</v>
      </c>
      <c r="K101" s="8">
        <f t="shared" si="14"/>
        <v>5.9589041095890414</v>
      </c>
      <c r="L101" s="8">
        <f t="shared" si="15"/>
        <v>1.6091954022988506E-2</v>
      </c>
      <c r="M101" s="15">
        <f t="shared" si="8"/>
        <v>1314</v>
      </c>
      <c r="N101" s="15">
        <f t="shared" si="9"/>
        <v>270</v>
      </c>
      <c r="O101" s="15">
        <f t="shared" si="10"/>
        <v>1584</v>
      </c>
      <c r="P101" s="15">
        <f t="shared" si="11"/>
        <v>3.6413793103448278</v>
      </c>
      <c r="Q101" s="15"/>
    </row>
    <row r="102" spans="1:17">
      <c r="A102" s="2">
        <v>45659</v>
      </c>
      <c r="B102" s="1">
        <f t="shared" ca="1" si="12"/>
        <v>1</v>
      </c>
      <c r="C102">
        <v>405</v>
      </c>
      <c r="D102">
        <v>6</v>
      </c>
      <c r="E102">
        <v>42</v>
      </c>
      <c r="F102">
        <v>27</v>
      </c>
      <c r="G102">
        <v>9</v>
      </c>
      <c r="J102" s="8">
        <f t="shared" si="13"/>
        <v>0.14285714285714285</v>
      </c>
      <c r="K102" s="8">
        <f t="shared" si="14"/>
        <v>9.6428571428571423</v>
      </c>
      <c r="L102" s="8">
        <f t="shared" si="15"/>
        <v>1.4814814814814815E-2</v>
      </c>
      <c r="M102" s="15">
        <f t="shared" si="8"/>
        <v>1134</v>
      </c>
      <c r="N102" s="15">
        <f t="shared" si="9"/>
        <v>364.5</v>
      </c>
      <c r="O102" s="15">
        <f t="shared" si="10"/>
        <v>1498.5</v>
      </c>
      <c r="P102" s="15">
        <f t="shared" si="11"/>
        <v>3.7</v>
      </c>
      <c r="Q102" s="15"/>
    </row>
    <row r="103" spans="1:17">
      <c r="A103" s="2">
        <v>45693</v>
      </c>
      <c r="B103" s="1">
        <f t="shared" ca="1" si="12"/>
        <v>2</v>
      </c>
      <c r="C103">
        <v>542</v>
      </c>
      <c r="D103">
        <v>3</v>
      </c>
      <c r="E103">
        <v>53</v>
      </c>
      <c r="F103">
        <v>29</v>
      </c>
      <c r="G103">
        <v>6</v>
      </c>
      <c r="J103" s="8">
        <f t="shared" si="13"/>
        <v>5.6603773584905662E-2</v>
      </c>
      <c r="K103" s="8">
        <f t="shared" si="14"/>
        <v>10.226415094339623</v>
      </c>
      <c r="L103" s="8">
        <f t="shared" si="15"/>
        <v>5.5350553505535052E-3</v>
      </c>
      <c r="M103" s="15">
        <f t="shared" si="8"/>
        <v>1537</v>
      </c>
      <c r="N103" s="15">
        <f t="shared" si="9"/>
        <v>261</v>
      </c>
      <c r="O103" s="15">
        <f t="shared" si="10"/>
        <v>1798</v>
      </c>
      <c r="P103" s="15">
        <f t="shared" si="11"/>
        <v>3.3173431734317345</v>
      </c>
      <c r="Q103" s="15"/>
    </row>
    <row r="104" spans="1:17">
      <c r="A104" s="2">
        <v>45669</v>
      </c>
      <c r="B104" s="1">
        <f t="shared" ca="1" si="12"/>
        <v>2</v>
      </c>
      <c r="C104">
        <v>210</v>
      </c>
      <c r="D104">
        <v>6</v>
      </c>
      <c r="E104">
        <v>55</v>
      </c>
      <c r="F104">
        <v>20</v>
      </c>
      <c r="G104">
        <v>10</v>
      </c>
      <c r="J104" s="8">
        <f t="shared" si="13"/>
        <v>0.10909090909090909</v>
      </c>
      <c r="K104" s="8">
        <f t="shared" si="14"/>
        <v>3.8181818181818183</v>
      </c>
      <c r="L104" s="8">
        <f t="shared" si="15"/>
        <v>2.8571428571428571E-2</v>
      </c>
      <c r="M104" s="15">
        <f t="shared" si="8"/>
        <v>1100</v>
      </c>
      <c r="N104" s="15">
        <f t="shared" si="9"/>
        <v>300</v>
      </c>
      <c r="O104" s="15">
        <f t="shared" si="10"/>
        <v>1400</v>
      </c>
      <c r="P104" s="15">
        <f t="shared" si="11"/>
        <v>6.666666666666667</v>
      </c>
      <c r="Q104" s="15"/>
    </row>
    <row r="105" spans="1:17">
      <c r="A105" s="2">
        <v>45737</v>
      </c>
      <c r="B105" s="1">
        <f t="shared" ca="1" si="12"/>
        <v>1</v>
      </c>
      <c r="C105">
        <v>162</v>
      </c>
      <c r="D105">
        <v>10</v>
      </c>
      <c r="E105">
        <v>82</v>
      </c>
      <c r="F105">
        <v>25</v>
      </c>
      <c r="G105">
        <v>8</v>
      </c>
      <c r="J105" s="8">
        <f t="shared" si="13"/>
        <v>0.12195121951219512</v>
      </c>
      <c r="K105" s="8">
        <f t="shared" si="14"/>
        <v>1.975609756097561</v>
      </c>
      <c r="L105" s="8">
        <f t="shared" si="15"/>
        <v>6.1728395061728392E-2</v>
      </c>
      <c r="M105" s="15">
        <f t="shared" si="8"/>
        <v>2050</v>
      </c>
      <c r="N105" s="15">
        <f t="shared" si="9"/>
        <v>300</v>
      </c>
      <c r="O105" s="15">
        <f t="shared" si="10"/>
        <v>2350</v>
      </c>
      <c r="P105" s="15">
        <f t="shared" si="11"/>
        <v>14.506172839506172</v>
      </c>
      <c r="Q105" s="15"/>
    </row>
    <row r="106" spans="1:17">
      <c r="A106" s="2">
        <v>45944</v>
      </c>
      <c r="B106" s="1">
        <f t="shared" ca="1" si="12"/>
        <v>1</v>
      </c>
      <c r="C106">
        <v>456</v>
      </c>
      <c r="D106">
        <v>10</v>
      </c>
      <c r="E106">
        <v>112</v>
      </c>
      <c r="F106">
        <v>21</v>
      </c>
      <c r="G106">
        <v>8</v>
      </c>
      <c r="J106" s="8">
        <f t="shared" si="13"/>
        <v>8.9285714285714288E-2</v>
      </c>
      <c r="K106" s="8">
        <f t="shared" si="14"/>
        <v>4.0714285714285712</v>
      </c>
      <c r="L106" s="8">
        <f t="shared" si="15"/>
        <v>2.1929824561403508E-2</v>
      </c>
      <c r="M106" s="15">
        <f t="shared" si="8"/>
        <v>2352</v>
      </c>
      <c r="N106" s="15">
        <f t="shared" si="9"/>
        <v>252</v>
      </c>
      <c r="O106" s="15">
        <f t="shared" si="10"/>
        <v>2604</v>
      </c>
      <c r="P106" s="15">
        <f t="shared" si="11"/>
        <v>5.7105263157894735</v>
      </c>
      <c r="Q106" s="15"/>
    </row>
    <row r="107" spans="1:17">
      <c r="A107" s="2">
        <v>45878</v>
      </c>
      <c r="B107" s="1">
        <f t="shared" ca="1" si="12"/>
        <v>3</v>
      </c>
      <c r="C107">
        <v>439</v>
      </c>
      <c r="D107">
        <v>5</v>
      </c>
      <c r="E107">
        <v>112</v>
      </c>
      <c r="F107">
        <v>28</v>
      </c>
      <c r="G107">
        <v>6</v>
      </c>
      <c r="J107" s="8">
        <f t="shared" si="13"/>
        <v>4.4642857142857144E-2</v>
      </c>
      <c r="K107" s="8">
        <f t="shared" si="14"/>
        <v>3.9196428571428572</v>
      </c>
      <c r="L107" s="8">
        <f t="shared" si="15"/>
        <v>1.1389521640091117E-2</v>
      </c>
      <c r="M107" s="15">
        <f t="shared" si="8"/>
        <v>3136</v>
      </c>
      <c r="N107" s="15">
        <f t="shared" si="9"/>
        <v>252</v>
      </c>
      <c r="O107" s="15">
        <f t="shared" si="10"/>
        <v>3388</v>
      </c>
      <c r="P107" s="15">
        <f t="shared" si="11"/>
        <v>7.7175398633257402</v>
      </c>
      <c r="Q107" s="15"/>
    </row>
    <row r="108" spans="1:17">
      <c r="A108" s="2">
        <v>45974</v>
      </c>
      <c r="B108" s="1">
        <f t="shared" ca="1" si="12"/>
        <v>2</v>
      </c>
      <c r="C108">
        <v>306</v>
      </c>
      <c r="D108">
        <v>3</v>
      </c>
      <c r="E108">
        <v>117</v>
      </c>
      <c r="F108">
        <v>28</v>
      </c>
      <c r="G108">
        <v>10</v>
      </c>
      <c r="J108" s="8">
        <f t="shared" si="13"/>
        <v>2.564102564102564E-2</v>
      </c>
      <c r="K108" s="8">
        <f t="shared" si="14"/>
        <v>2.6153846153846154</v>
      </c>
      <c r="L108" s="8">
        <f t="shared" si="15"/>
        <v>9.8039215686274508E-3</v>
      </c>
      <c r="M108" s="15">
        <f t="shared" si="8"/>
        <v>3276</v>
      </c>
      <c r="N108" s="15">
        <f t="shared" si="9"/>
        <v>420</v>
      </c>
      <c r="O108" s="15">
        <f t="shared" si="10"/>
        <v>3696</v>
      </c>
      <c r="P108" s="15">
        <f t="shared" si="11"/>
        <v>12.078431372549019</v>
      </c>
      <c r="Q108" s="15"/>
    </row>
    <row r="109" spans="1:17">
      <c r="A109" s="2">
        <v>45705</v>
      </c>
      <c r="B109" s="1">
        <f t="shared" ca="1" si="12"/>
        <v>1</v>
      </c>
      <c r="C109">
        <v>170</v>
      </c>
      <c r="D109">
        <v>9</v>
      </c>
      <c r="E109">
        <v>44</v>
      </c>
      <c r="F109">
        <v>19</v>
      </c>
      <c r="G109">
        <v>7</v>
      </c>
      <c r="J109" s="8">
        <f t="shared" si="13"/>
        <v>0.20454545454545456</v>
      </c>
      <c r="K109" s="8">
        <f t="shared" si="14"/>
        <v>3.8636363636363638</v>
      </c>
      <c r="L109" s="8">
        <f t="shared" si="15"/>
        <v>5.2941176470588235E-2</v>
      </c>
      <c r="M109" s="15">
        <f t="shared" si="8"/>
        <v>836</v>
      </c>
      <c r="N109" s="15">
        <f t="shared" si="9"/>
        <v>199.5</v>
      </c>
      <c r="O109" s="15">
        <f t="shared" si="10"/>
        <v>1035.5</v>
      </c>
      <c r="P109" s="15">
        <f t="shared" si="11"/>
        <v>6.091176470588235</v>
      </c>
      <c r="Q109" s="15"/>
    </row>
    <row r="110" spans="1:17">
      <c r="A110" s="2">
        <v>45987</v>
      </c>
      <c r="B110" s="1">
        <f t="shared" ca="1" si="12"/>
        <v>3</v>
      </c>
      <c r="C110">
        <v>437</v>
      </c>
      <c r="D110">
        <v>2</v>
      </c>
      <c r="E110">
        <v>78</v>
      </c>
      <c r="F110">
        <v>18</v>
      </c>
      <c r="G110">
        <v>6</v>
      </c>
      <c r="J110" s="8">
        <f t="shared" si="13"/>
        <v>2.564102564102564E-2</v>
      </c>
      <c r="K110" s="8">
        <f t="shared" si="14"/>
        <v>5.6025641025641022</v>
      </c>
      <c r="L110" s="8">
        <f t="shared" si="15"/>
        <v>4.5766590389016018E-3</v>
      </c>
      <c r="M110" s="15">
        <f t="shared" si="8"/>
        <v>1404</v>
      </c>
      <c r="N110" s="15">
        <f t="shared" si="9"/>
        <v>162</v>
      </c>
      <c r="O110" s="15">
        <f t="shared" si="10"/>
        <v>1566</v>
      </c>
      <c r="P110" s="15">
        <f t="shared" si="11"/>
        <v>3.583524027459954</v>
      </c>
      <c r="Q110" s="15"/>
    </row>
    <row r="111" spans="1:17">
      <c r="A111" s="2">
        <v>45683</v>
      </c>
      <c r="B111" s="1">
        <f t="shared" ca="1" si="12"/>
        <v>1</v>
      </c>
      <c r="C111">
        <v>193</v>
      </c>
      <c r="D111">
        <v>5</v>
      </c>
      <c r="E111">
        <v>56</v>
      </c>
      <c r="F111">
        <v>29</v>
      </c>
      <c r="G111">
        <v>8</v>
      </c>
      <c r="J111" s="8">
        <f t="shared" si="13"/>
        <v>8.9285714285714288E-2</v>
      </c>
      <c r="K111" s="8">
        <f t="shared" si="14"/>
        <v>3.4464285714285716</v>
      </c>
      <c r="L111" s="8">
        <f t="shared" si="15"/>
        <v>2.5906735751295335E-2</v>
      </c>
      <c r="M111" s="15">
        <f t="shared" si="8"/>
        <v>1624</v>
      </c>
      <c r="N111" s="15">
        <f t="shared" si="9"/>
        <v>348</v>
      </c>
      <c r="O111" s="15">
        <f t="shared" si="10"/>
        <v>1972</v>
      </c>
      <c r="P111" s="15">
        <f t="shared" si="11"/>
        <v>10.217616580310882</v>
      </c>
      <c r="Q111" s="15"/>
    </row>
    <row r="112" spans="1:17">
      <c r="A112" s="2">
        <v>45897</v>
      </c>
      <c r="B112" s="1">
        <f t="shared" ca="1" si="12"/>
        <v>3</v>
      </c>
      <c r="C112">
        <v>597</v>
      </c>
      <c r="D112">
        <v>5</v>
      </c>
      <c r="E112">
        <v>72</v>
      </c>
      <c r="F112">
        <v>29</v>
      </c>
      <c r="G112">
        <v>8</v>
      </c>
      <c r="J112" s="8">
        <f t="shared" si="13"/>
        <v>6.9444444444444448E-2</v>
      </c>
      <c r="K112" s="8">
        <f t="shared" si="14"/>
        <v>8.2916666666666661</v>
      </c>
      <c r="L112" s="8">
        <f t="shared" si="15"/>
        <v>8.3752093802345051E-3</v>
      </c>
      <c r="M112" s="15">
        <f t="shared" si="8"/>
        <v>2088</v>
      </c>
      <c r="N112" s="15">
        <f t="shared" si="9"/>
        <v>348</v>
      </c>
      <c r="O112" s="15">
        <f t="shared" si="10"/>
        <v>2436</v>
      </c>
      <c r="P112" s="15">
        <f t="shared" si="11"/>
        <v>4.0804020100502516</v>
      </c>
      <c r="Q112" s="15"/>
    </row>
    <row r="113" spans="1:17">
      <c r="A113" s="2">
        <v>45687</v>
      </c>
      <c r="B113" s="1">
        <f t="shared" ca="1" si="12"/>
        <v>1</v>
      </c>
      <c r="C113">
        <v>531</v>
      </c>
      <c r="D113">
        <v>2</v>
      </c>
      <c r="E113">
        <v>105</v>
      </c>
      <c r="F113">
        <v>22</v>
      </c>
      <c r="G113">
        <v>7</v>
      </c>
      <c r="J113" s="8">
        <f t="shared" si="13"/>
        <v>1.9047619047619049E-2</v>
      </c>
      <c r="K113" s="8">
        <f t="shared" si="14"/>
        <v>5.0571428571428569</v>
      </c>
      <c r="L113" s="8">
        <f t="shared" si="15"/>
        <v>3.766478342749529E-3</v>
      </c>
      <c r="M113" s="15">
        <f t="shared" si="8"/>
        <v>2310</v>
      </c>
      <c r="N113" s="15">
        <f t="shared" si="9"/>
        <v>231</v>
      </c>
      <c r="O113" s="15">
        <f t="shared" si="10"/>
        <v>2541</v>
      </c>
      <c r="P113" s="15">
        <f t="shared" si="11"/>
        <v>4.7853107344632768</v>
      </c>
      <c r="Q113" s="15"/>
    </row>
    <row r="114" spans="1:17">
      <c r="A114" s="2">
        <v>45812</v>
      </c>
      <c r="B114" s="1">
        <f t="shared" ca="1" si="12"/>
        <v>2</v>
      </c>
      <c r="C114">
        <v>234</v>
      </c>
      <c r="D114">
        <v>8</v>
      </c>
      <c r="E114">
        <v>59</v>
      </c>
      <c r="F114">
        <v>29</v>
      </c>
      <c r="G114">
        <v>5</v>
      </c>
      <c r="J114" s="8">
        <f t="shared" si="13"/>
        <v>0.13559322033898305</v>
      </c>
      <c r="K114" s="8">
        <f t="shared" si="14"/>
        <v>3.9661016949152543</v>
      </c>
      <c r="L114" s="8">
        <f t="shared" si="15"/>
        <v>3.4188034188034191E-2</v>
      </c>
      <c r="M114" s="15">
        <f t="shared" si="8"/>
        <v>1711</v>
      </c>
      <c r="N114" s="15">
        <f t="shared" si="9"/>
        <v>217.5</v>
      </c>
      <c r="O114" s="15">
        <f t="shared" si="10"/>
        <v>1928.5</v>
      </c>
      <c r="P114" s="15">
        <f t="shared" si="11"/>
        <v>8.2414529914529915</v>
      </c>
      <c r="Q114" s="15"/>
    </row>
    <row r="115" spans="1:17">
      <c r="A115" s="2">
        <v>45897</v>
      </c>
      <c r="B115" s="1">
        <f t="shared" ca="1" si="12"/>
        <v>3</v>
      </c>
      <c r="C115">
        <v>465</v>
      </c>
      <c r="D115">
        <v>7</v>
      </c>
      <c r="E115">
        <v>47</v>
      </c>
      <c r="F115">
        <v>18</v>
      </c>
      <c r="G115">
        <v>7</v>
      </c>
      <c r="J115" s="8">
        <f t="shared" si="13"/>
        <v>0.14893617021276595</v>
      </c>
      <c r="K115" s="8">
        <f t="shared" si="14"/>
        <v>9.8936170212765955</v>
      </c>
      <c r="L115" s="8">
        <f t="shared" si="15"/>
        <v>1.5053763440860216E-2</v>
      </c>
      <c r="M115" s="15">
        <f t="shared" si="8"/>
        <v>846</v>
      </c>
      <c r="N115" s="15">
        <f t="shared" si="9"/>
        <v>189</v>
      </c>
      <c r="O115" s="15">
        <f t="shared" si="10"/>
        <v>1035</v>
      </c>
      <c r="P115" s="15">
        <f t="shared" si="11"/>
        <v>2.225806451612903</v>
      </c>
      <c r="Q115" s="15"/>
    </row>
    <row r="116" spans="1:17">
      <c r="A116" s="2">
        <v>45962</v>
      </c>
      <c r="B116" s="1">
        <f t="shared" ca="1" si="12"/>
        <v>3</v>
      </c>
      <c r="C116">
        <v>540</v>
      </c>
      <c r="D116">
        <v>3</v>
      </c>
      <c r="E116">
        <v>87</v>
      </c>
      <c r="F116">
        <v>19</v>
      </c>
      <c r="G116">
        <v>9</v>
      </c>
      <c r="J116" s="8">
        <f t="shared" si="13"/>
        <v>3.4482758620689655E-2</v>
      </c>
      <c r="K116" s="8">
        <f t="shared" si="14"/>
        <v>6.2068965517241379</v>
      </c>
      <c r="L116" s="8">
        <f t="shared" si="15"/>
        <v>5.5555555555555558E-3</v>
      </c>
      <c r="M116" s="15">
        <f t="shared" si="8"/>
        <v>1653</v>
      </c>
      <c r="N116" s="15">
        <f t="shared" si="9"/>
        <v>256.5</v>
      </c>
      <c r="O116" s="15">
        <f t="shared" si="10"/>
        <v>1909.5</v>
      </c>
      <c r="P116" s="15">
        <f t="shared" si="11"/>
        <v>3.536111111111111</v>
      </c>
      <c r="Q116" s="15"/>
    </row>
    <row r="117" spans="1:17">
      <c r="A117" s="2">
        <v>45890</v>
      </c>
      <c r="B117" s="1">
        <f t="shared" ca="1" si="12"/>
        <v>2</v>
      </c>
      <c r="C117">
        <v>531</v>
      </c>
      <c r="D117">
        <v>3</v>
      </c>
      <c r="E117">
        <v>99</v>
      </c>
      <c r="F117">
        <v>21</v>
      </c>
      <c r="G117">
        <v>7</v>
      </c>
      <c r="J117" s="8">
        <f t="shared" si="13"/>
        <v>3.0303030303030304E-2</v>
      </c>
      <c r="K117" s="8">
        <f t="shared" si="14"/>
        <v>5.3636363636363633</v>
      </c>
      <c r="L117" s="8">
        <f t="shared" si="15"/>
        <v>5.6497175141242938E-3</v>
      </c>
      <c r="M117" s="15">
        <f t="shared" si="8"/>
        <v>2079</v>
      </c>
      <c r="N117" s="15">
        <f t="shared" si="9"/>
        <v>220.5</v>
      </c>
      <c r="O117" s="15">
        <f t="shared" si="10"/>
        <v>2299.5</v>
      </c>
      <c r="P117" s="15">
        <f t="shared" si="11"/>
        <v>4.3305084745762707</v>
      </c>
      <c r="Q117" s="15"/>
    </row>
    <row r="118" spans="1:17">
      <c r="A118" s="2">
        <v>45741</v>
      </c>
      <c r="B118" s="1">
        <f t="shared" ca="1" si="12"/>
        <v>2</v>
      </c>
      <c r="C118">
        <v>200</v>
      </c>
      <c r="D118">
        <v>5</v>
      </c>
      <c r="E118">
        <v>88</v>
      </c>
      <c r="F118">
        <v>23</v>
      </c>
      <c r="G118">
        <v>5</v>
      </c>
      <c r="J118" s="8">
        <f t="shared" si="13"/>
        <v>5.6818181818181816E-2</v>
      </c>
      <c r="K118" s="8">
        <f t="shared" si="14"/>
        <v>2.2727272727272729</v>
      </c>
      <c r="L118" s="8">
        <f t="shared" si="15"/>
        <v>2.5000000000000001E-2</v>
      </c>
      <c r="M118" s="15">
        <f t="shared" si="8"/>
        <v>2024</v>
      </c>
      <c r="N118" s="15">
        <f t="shared" si="9"/>
        <v>172.5</v>
      </c>
      <c r="O118" s="15">
        <f t="shared" si="10"/>
        <v>2196.5</v>
      </c>
      <c r="P118" s="15">
        <f t="shared" si="11"/>
        <v>10.9825</v>
      </c>
      <c r="Q118" s="15"/>
    </row>
    <row r="119" spans="1:17">
      <c r="A119" s="2">
        <v>45870</v>
      </c>
      <c r="B119" s="1">
        <f t="shared" ca="1" si="12"/>
        <v>3</v>
      </c>
      <c r="C119">
        <v>565</v>
      </c>
      <c r="D119">
        <v>4</v>
      </c>
      <c r="E119">
        <v>78</v>
      </c>
      <c r="F119">
        <v>18</v>
      </c>
      <c r="G119">
        <v>9</v>
      </c>
      <c r="J119" s="8">
        <f t="shared" si="13"/>
        <v>5.128205128205128E-2</v>
      </c>
      <c r="K119" s="8">
        <f t="shared" si="14"/>
        <v>7.2435897435897436</v>
      </c>
      <c r="L119" s="8">
        <f t="shared" si="15"/>
        <v>7.0796460176991149E-3</v>
      </c>
      <c r="M119" s="15">
        <f t="shared" si="8"/>
        <v>1404</v>
      </c>
      <c r="N119" s="15">
        <f t="shared" si="9"/>
        <v>243</v>
      </c>
      <c r="O119" s="15">
        <f t="shared" si="10"/>
        <v>1647</v>
      </c>
      <c r="P119" s="15">
        <f t="shared" si="11"/>
        <v>2.9150442477876104</v>
      </c>
      <c r="Q119" s="15"/>
    </row>
    <row r="120" spans="1:17">
      <c r="A120" s="2">
        <v>45938</v>
      </c>
      <c r="B120" s="1">
        <f t="shared" ca="1" si="12"/>
        <v>3</v>
      </c>
      <c r="C120">
        <v>445</v>
      </c>
      <c r="D120">
        <v>4</v>
      </c>
      <c r="E120">
        <v>118</v>
      </c>
      <c r="F120">
        <v>22</v>
      </c>
      <c r="G120">
        <v>10</v>
      </c>
      <c r="J120" s="8">
        <f t="shared" si="13"/>
        <v>3.3898305084745763E-2</v>
      </c>
      <c r="K120" s="8">
        <f t="shared" si="14"/>
        <v>3.7711864406779663</v>
      </c>
      <c r="L120" s="8">
        <f t="shared" si="15"/>
        <v>8.988764044943821E-3</v>
      </c>
      <c r="M120" s="15">
        <f t="shared" si="8"/>
        <v>2596</v>
      </c>
      <c r="N120" s="15">
        <f t="shared" si="9"/>
        <v>330</v>
      </c>
      <c r="O120" s="15">
        <f t="shared" si="10"/>
        <v>2926</v>
      </c>
      <c r="P120" s="15">
        <f t="shared" si="11"/>
        <v>6.5752808988764047</v>
      </c>
      <c r="Q120" s="15"/>
    </row>
    <row r="121" spans="1:17">
      <c r="A121" s="2">
        <v>45787</v>
      </c>
      <c r="B121" s="1">
        <f t="shared" ca="1" si="12"/>
        <v>3</v>
      </c>
      <c r="C121">
        <v>528</v>
      </c>
      <c r="D121">
        <v>8</v>
      </c>
      <c r="E121">
        <v>69</v>
      </c>
      <c r="F121">
        <v>28</v>
      </c>
      <c r="G121">
        <v>7</v>
      </c>
      <c r="J121" s="8">
        <f t="shared" si="13"/>
        <v>0.11594202898550725</v>
      </c>
      <c r="K121" s="8">
        <f t="shared" si="14"/>
        <v>7.6521739130434785</v>
      </c>
      <c r="L121" s="8">
        <f t="shared" si="15"/>
        <v>1.5151515151515152E-2</v>
      </c>
      <c r="M121" s="15">
        <f t="shared" si="8"/>
        <v>1932</v>
      </c>
      <c r="N121" s="15">
        <f t="shared" si="9"/>
        <v>294</v>
      </c>
      <c r="O121" s="15">
        <f t="shared" si="10"/>
        <v>2226</v>
      </c>
      <c r="P121" s="15">
        <f t="shared" si="11"/>
        <v>4.2159090909090908</v>
      </c>
      <c r="Q121" s="15"/>
    </row>
    <row r="122" spans="1:17">
      <c r="A122" s="2">
        <v>45706</v>
      </c>
      <c r="B122" s="1">
        <f t="shared" ca="1" si="12"/>
        <v>1</v>
      </c>
      <c r="C122">
        <v>356</v>
      </c>
      <c r="D122">
        <v>8</v>
      </c>
      <c r="E122">
        <v>49</v>
      </c>
      <c r="F122">
        <v>30</v>
      </c>
      <c r="G122">
        <v>5</v>
      </c>
      <c r="J122" s="8">
        <f t="shared" si="13"/>
        <v>0.16326530612244897</v>
      </c>
      <c r="K122" s="8">
        <f t="shared" si="14"/>
        <v>7.2653061224489797</v>
      </c>
      <c r="L122" s="8">
        <f t="shared" si="15"/>
        <v>2.247191011235955E-2</v>
      </c>
      <c r="M122" s="15">
        <f t="shared" si="8"/>
        <v>1470</v>
      </c>
      <c r="N122" s="15">
        <f t="shared" si="9"/>
        <v>225</v>
      </c>
      <c r="O122" s="15">
        <f t="shared" si="10"/>
        <v>1695</v>
      </c>
      <c r="P122" s="15">
        <f t="shared" si="11"/>
        <v>4.76123595505618</v>
      </c>
      <c r="Q122" s="15"/>
    </row>
    <row r="123" spans="1:17">
      <c r="A123" s="2">
        <v>46010</v>
      </c>
      <c r="B123" s="1">
        <f t="shared" ca="1" si="12"/>
        <v>3</v>
      </c>
      <c r="C123">
        <v>369</v>
      </c>
      <c r="D123">
        <v>8</v>
      </c>
      <c r="E123">
        <v>111</v>
      </c>
      <c r="F123">
        <v>27</v>
      </c>
      <c r="G123">
        <v>5</v>
      </c>
      <c r="J123" s="8">
        <f t="shared" si="13"/>
        <v>7.2072072072072071E-2</v>
      </c>
      <c r="K123" s="8">
        <f t="shared" si="14"/>
        <v>3.3243243243243241</v>
      </c>
      <c r="L123" s="8">
        <f t="shared" si="15"/>
        <v>2.1680216802168022E-2</v>
      </c>
      <c r="M123" s="15">
        <f t="shared" si="8"/>
        <v>2997</v>
      </c>
      <c r="N123" s="15">
        <f t="shared" si="9"/>
        <v>202.5</v>
      </c>
      <c r="O123" s="15">
        <f t="shared" si="10"/>
        <v>3199.5</v>
      </c>
      <c r="P123" s="15">
        <f t="shared" si="11"/>
        <v>8.6707317073170724</v>
      </c>
      <c r="Q123" s="15"/>
    </row>
    <row r="124" spans="1:17">
      <c r="A124" s="2">
        <v>45706</v>
      </c>
      <c r="B124" s="1">
        <f t="shared" ca="1" si="12"/>
        <v>3</v>
      </c>
      <c r="C124">
        <v>553</v>
      </c>
      <c r="D124">
        <v>3</v>
      </c>
      <c r="E124">
        <v>90</v>
      </c>
      <c r="F124">
        <v>30</v>
      </c>
      <c r="G124">
        <v>10</v>
      </c>
      <c r="J124" s="8">
        <f t="shared" si="13"/>
        <v>3.3333333333333333E-2</v>
      </c>
      <c r="K124" s="8">
        <f t="shared" si="14"/>
        <v>6.1444444444444448</v>
      </c>
      <c r="L124" s="8">
        <f t="shared" si="15"/>
        <v>5.4249547920433997E-3</v>
      </c>
      <c r="M124" s="15">
        <f t="shared" si="8"/>
        <v>2700</v>
      </c>
      <c r="N124" s="15">
        <f t="shared" si="9"/>
        <v>450</v>
      </c>
      <c r="O124" s="15">
        <f t="shared" si="10"/>
        <v>3150</v>
      </c>
      <c r="P124" s="15">
        <f t="shared" si="11"/>
        <v>5.6962025316455698</v>
      </c>
      <c r="Q124" s="15"/>
    </row>
    <row r="125" spans="1:17">
      <c r="A125" s="2">
        <v>45820</v>
      </c>
      <c r="B125" s="1">
        <f t="shared" ca="1" si="12"/>
        <v>3</v>
      </c>
      <c r="C125">
        <v>406</v>
      </c>
      <c r="D125">
        <v>10</v>
      </c>
      <c r="E125">
        <v>109</v>
      </c>
      <c r="F125">
        <v>19</v>
      </c>
      <c r="G125">
        <v>8</v>
      </c>
      <c r="J125" s="8">
        <f t="shared" si="13"/>
        <v>9.1743119266055051E-2</v>
      </c>
      <c r="K125" s="8">
        <f t="shared" si="14"/>
        <v>3.7247706422018347</v>
      </c>
      <c r="L125" s="8">
        <f t="shared" si="15"/>
        <v>2.4630541871921183E-2</v>
      </c>
      <c r="M125" s="15">
        <f t="shared" si="8"/>
        <v>2071</v>
      </c>
      <c r="N125" s="15">
        <f t="shared" si="9"/>
        <v>228</v>
      </c>
      <c r="O125" s="15">
        <f t="shared" si="10"/>
        <v>2299</v>
      </c>
      <c r="P125" s="15">
        <f t="shared" si="11"/>
        <v>5.6625615763546797</v>
      </c>
      <c r="Q125" s="15"/>
    </row>
    <row r="126" spans="1:17">
      <c r="A126" s="2">
        <v>45731</v>
      </c>
      <c r="B126" s="1">
        <f t="shared" ca="1" si="12"/>
        <v>2</v>
      </c>
      <c r="C126">
        <v>312</v>
      </c>
      <c r="D126">
        <v>5</v>
      </c>
      <c r="E126">
        <v>120</v>
      </c>
      <c r="F126">
        <v>18</v>
      </c>
      <c r="G126">
        <v>8</v>
      </c>
      <c r="J126" s="8">
        <f t="shared" si="13"/>
        <v>4.1666666666666664E-2</v>
      </c>
      <c r="K126" s="8">
        <f t="shared" si="14"/>
        <v>2.6</v>
      </c>
      <c r="L126" s="8">
        <f t="shared" si="15"/>
        <v>1.6025641025641024E-2</v>
      </c>
      <c r="M126" s="15">
        <f t="shared" si="8"/>
        <v>2160</v>
      </c>
      <c r="N126" s="15">
        <f t="shared" si="9"/>
        <v>216</v>
      </c>
      <c r="O126" s="15">
        <f t="shared" si="10"/>
        <v>2376</v>
      </c>
      <c r="P126" s="15">
        <f t="shared" si="11"/>
        <v>7.615384615384615</v>
      </c>
      <c r="Q126" s="15"/>
    </row>
    <row r="127" spans="1:17">
      <c r="A127" s="2">
        <v>45687</v>
      </c>
      <c r="B127" s="1">
        <f t="shared" ca="1" si="12"/>
        <v>2</v>
      </c>
      <c r="C127">
        <v>598</v>
      </c>
      <c r="D127">
        <v>10</v>
      </c>
      <c r="E127">
        <v>97</v>
      </c>
      <c r="F127">
        <v>26</v>
      </c>
      <c r="G127">
        <v>8</v>
      </c>
      <c r="J127" s="8">
        <f t="shared" si="13"/>
        <v>0.10309278350515463</v>
      </c>
      <c r="K127" s="8">
        <f t="shared" si="14"/>
        <v>6.1649484536082477</v>
      </c>
      <c r="L127" s="8">
        <f t="shared" si="15"/>
        <v>1.6722408026755852E-2</v>
      </c>
      <c r="M127" s="15">
        <f t="shared" si="8"/>
        <v>2522</v>
      </c>
      <c r="N127" s="15">
        <f t="shared" si="9"/>
        <v>312</v>
      </c>
      <c r="O127" s="15">
        <f t="shared" si="10"/>
        <v>2834</v>
      </c>
      <c r="P127" s="15">
        <f t="shared" si="11"/>
        <v>4.7391304347826084</v>
      </c>
      <c r="Q127" s="15"/>
    </row>
    <row r="128" spans="1:17">
      <c r="A128" s="2">
        <v>45828</v>
      </c>
      <c r="B128" s="1">
        <f t="shared" ca="1" si="12"/>
        <v>1</v>
      </c>
      <c r="C128">
        <v>213</v>
      </c>
      <c r="D128">
        <v>4</v>
      </c>
      <c r="E128">
        <v>65</v>
      </c>
      <c r="F128">
        <v>18</v>
      </c>
      <c r="G128">
        <v>8</v>
      </c>
      <c r="J128" s="8">
        <f t="shared" si="13"/>
        <v>6.1538461538461542E-2</v>
      </c>
      <c r="K128" s="8">
        <f t="shared" si="14"/>
        <v>3.2769230769230768</v>
      </c>
      <c r="L128" s="8">
        <f t="shared" si="15"/>
        <v>1.8779342723004695E-2</v>
      </c>
      <c r="M128" s="15">
        <f t="shared" si="8"/>
        <v>1170</v>
      </c>
      <c r="N128" s="15">
        <f t="shared" si="9"/>
        <v>216</v>
      </c>
      <c r="O128" s="15">
        <f t="shared" si="10"/>
        <v>1386</v>
      </c>
      <c r="P128" s="15">
        <f t="shared" si="11"/>
        <v>6.507042253521127</v>
      </c>
      <c r="Q128" s="15"/>
    </row>
    <row r="129" spans="1:17">
      <c r="A129" s="2">
        <v>45703</v>
      </c>
      <c r="B129" s="1">
        <f t="shared" ca="1" si="12"/>
        <v>3</v>
      </c>
      <c r="C129">
        <v>195</v>
      </c>
      <c r="D129">
        <v>6</v>
      </c>
      <c r="E129">
        <v>62</v>
      </c>
      <c r="F129">
        <v>30</v>
      </c>
      <c r="G129">
        <v>6</v>
      </c>
      <c r="J129" s="8">
        <f t="shared" si="13"/>
        <v>9.6774193548387094E-2</v>
      </c>
      <c r="K129" s="8">
        <f t="shared" si="14"/>
        <v>3.1451612903225805</v>
      </c>
      <c r="L129" s="8">
        <f t="shared" si="15"/>
        <v>3.0769230769230771E-2</v>
      </c>
      <c r="M129" s="15">
        <f t="shared" si="8"/>
        <v>1860</v>
      </c>
      <c r="N129" s="15">
        <f t="shared" si="9"/>
        <v>270</v>
      </c>
      <c r="O129" s="15">
        <f t="shared" si="10"/>
        <v>2130</v>
      </c>
      <c r="P129" s="15">
        <f t="shared" si="11"/>
        <v>10.923076923076923</v>
      </c>
      <c r="Q129" s="15"/>
    </row>
    <row r="130" spans="1:17">
      <c r="A130" s="2">
        <v>45807</v>
      </c>
      <c r="B130" s="1">
        <f t="shared" ca="1" si="12"/>
        <v>3</v>
      </c>
      <c r="C130">
        <v>173</v>
      </c>
      <c r="D130">
        <v>4</v>
      </c>
      <c r="E130">
        <v>56</v>
      </c>
      <c r="F130">
        <v>22</v>
      </c>
      <c r="G130">
        <v>8</v>
      </c>
      <c r="J130" s="8">
        <f t="shared" si="13"/>
        <v>7.1428571428571425E-2</v>
      </c>
      <c r="K130" s="8">
        <f t="shared" si="14"/>
        <v>3.0892857142857144</v>
      </c>
      <c r="L130" s="8">
        <f t="shared" si="15"/>
        <v>2.3121387283236993E-2</v>
      </c>
      <c r="M130" s="15">
        <f t="shared" ref="M130:M193" si="16">E130 * F130</f>
        <v>1232</v>
      </c>
      <c r="N130" s="15">
        <f t="shared" ref="N130:N193" si="17">G130 * F130 * 1.5</f>
        <v>264</v>
      </c>
      <c r="O130" s="15">
        <f t="shared" ref="O130:O193" si="18">M130 + N130</f>
        <v>1496</v>
      </c>
      <c r="P130" s="15">
        <f t="shared" ref="P130:P193" si="19">O130 / C130</f>
        <v>8.6473988439306364</v>
      </c>
      <c r="Q130" s="15"/>
    </row>
    <row r="131" spans="1:17">
      <c r="A131" s="2">
        <v>45887</v>
      </c>
      <c r="B131" s="1">
        <f t="shared" ref="B131:B194" ca="1" si="20">RANDBETWEEN(1,3)</f>
        <v>3</v>
      </c>
      <c r="C131">
        <v>318</v>
      </c>
      <c r="D131">
        <v>6</v>
      </c>
      <c r="E131">
        <v>47</v>
      </c>
      <c r="F131">
        <v>21</v>
      </c>
      <c r="G131">
        <v>9</v>
      </c>
      <c r="J131" s="8">
        <f t="shared" ref="J131:J194" si="21">D131/E131</f>
        <v>0.1276595744680851</v>
      </c>
      <c r="K131" s="8">
        <f t="shared" ref="K131:K194" si="22">C131 / E131</f>
        <v>6.7659574468085104</v>
      </c>
      <c r="L131" s="8">
        <f t="shared" ref="L131:L194" si="23">D131 / C131</f>
        <v>1.8867924528301886E-2</v>
      </c>
      <c r="M131" s="15">
        <f t="shared" si="16"/>
        <v>987</v>
      </c>
      <c r="N131" s="15">
        <f t="shared" si="17"/>
        <v>283.5</v>
      </c>
      <c r="O131" s="15">
        <f t="shared" si="18"/>
        <v>1270.5</v>
      </c>
      <c r="P131" s="15">
        <f t="shared" si="19"/>
        <v>3.9952830188679247</v>
      </c>
      <c r="Q131" s="15"/>
    </row>
    <row r="132" spans="1:17">
      <c r="A132" s="2">
        <v>45974</v>
      </c>
      <c r="B132" s="1">
        <f t="shared" ca="1" si="20"/>
        <v>1</v>
      </c>
      <c r="C132">
        <v>338</v>
      </c>
      <c r="D132">
        <v>10</v>
      </c>
      <c r="E132">
        <v>100</v>
      </c>
      <c r="F132">
        <v>26</v>
      </c>
      <c r="G132">
        <v>8</v>
      </c>
      <c r="J132" s="8">
        <f t="shared" si="21"/>
        <v>0.1</v>
      </c>
      <c r="K132" s="8">
        <f t="shared" si="22"/>
        <v>3.38</v>
      </c>
      <c r="L132" s="8">
        <f t="shared" si="23"/>
        <v>2.9585798816568046E-2</v>
      </c>
      <c r="M132" s="15">
        <f t="shared" si="16"/>
        <v>2600</v>
      </c>
      <c r="N132" s="15">
        <f t="shared" si="17"/>
        <v>312</v>
      </c>
      <c r="O132" s="15">
        <f t="shared" si="18"/>
        <v>2912</v>
      </c>
      <c r="P132" s="15">
        <f t="shared" si="19"/>
        <v>8.615384615384615</v>
      </c>
      <c r="Q132" s="15"/>
    </row>
    <row r="133" spans="1:17">
      <c r="A133" s="2">
        <v>45677</v>
      </c>
      <c r="B133" s="1">
        <f t="shared" ca="1" si="20"/>
        <v>3</v>
      </c>
      <c r="C133">
        <v>570</v>
      </c>
      <c r="D133">
        <v>2</v>
      </c>
      <c r="E133">
        <v>71</v>
      </c>
      <c r="F133">
        <v>24</v>
      </c>
      <c r="G133">
        <v>7</v>
      </c>
      <c r="J133" s="8">
        <f t="shared" si="21"/>
        <v>2.8169014084507043E-2</v>
      </c>
      <c r="K133" s="8">
        <f t="shared" si="22"/>
        <v>8.0281690140845079</v>
      </c>
      <c r="L133" s="8">
        <f t="shared" si="23"/>
        <v>3.5087719298245615E-3</v>
      </c>
      <c r="M133" s="15">
        <f t="shared" si="16"/>
        <v>1704</v>
      </c>
      <c r="N133" s="15">
        <f t="shared" si="17"/>
        <v>252</v>
      </c>
      <c r="O133" s="15">
        <f t="shared" si="18"/>
        <v>1956</v>
      </c>
      <c r="P133" s="15">
        <f t="shared" si="19"/>
        <v>3.4315789473684211</v>
      </c>
      <c r="Q133" s="15"/>
    </row>
    <row r="134" spans="1:17">
      <c r="A134" s="2">
        <v>45853</v>
      </c>
      <c r="B134" s="1">
        <f t="shared" ca="1" si="20"/>
        <v>3</v>
      </c>
      <c r="C134">
        <v>484</v>
      </c>
      <c r="D134">
        <v>10</v>
      </c>
      <c r="E134">
        <v>94</v>
      </c>
      <c r="F134">
        <v>20</v>
      </c>
      <c r="G134">
        <v>8</v>
      </c>
      <c r="J134" s="8">
        <f t="shared" si="21"/>
        <v>0.10638297872340426</v>
      </c>
      <c r="K134" s="8">
        <f t="shared" si="22"/>
        <v>5.1489361702127656</v>
      </c>
      <c r="L134" s="8">
        <f t="shared" si="23"/>
        <v>2.0661157024793389E-2</v>
      </c>
      <c r="M134" s="15">
        <f t="shared" si="16"/>
        <v>1880</v>
      </c>
      <c r="N134" s="15">
        <f t="shared" si="17"/>
        <v>240</v>
      </c>
      <c r="O134" s="15">
        <f t="shared" si="18"/>
        <v>2120</v>
      </c>
      <c r="P134" s="15">
        <f t="shared" si="19"/>
        <v>4.3801652892561984</v>
      </c>
      <c r="Q134" s="15"/>
    </row>
    <row r="135" spans="1:17">
      <c r="A135" s="2">
        <v>45748</v>
      </c>
      <c r="B135" s="1">
        <f t="shared" ca="1" si="20"/>
        <v>1</v>
      </c>
      <c r="C135">
        <v>447</v>
      </c>
      <c r="D135">
        <v>9</v>
      </c>
      <c r="E135">
        <v>75</v>
      </c>
      <c r="F135">
        <v>23</v>
      </c>
      <c r="G135">
        <v>8</v>
      </c>
      <c r="J135" s="8">
        <f t="shared" si="21"/>
        <v>0.12</v>
      </c>
      <c r="K135" s="8">
        <f t="shared" si="22"/>
        <v>5.96</v>
      </c>
      <c r="L135" s="8">
        <f t="shared" si="23"/>
        <v>2.0134228187919462E-2</v>
      </c>
      <c r="M135" s="15">
        <f t="shared" si="16"/>
        <v>1725</v>
      </c>
      <c r="N135" s="15">
        <f t="shared" si="17"/>
        <v>276</v>
      </c>
      <c r="O135" s="15">
        <f t="shared" si="18"/>
        <v>2001</v>
      </c>
      <c r="P135" s="15">
        <f t="shared" si="19"/>
        <v>4.476510067114094</v>
      </c>
      <c r="Q135" s="15"/>
    </row>
    <row r="136" spans="1:17">
      <c r="A136" s="2">
        <v>45659</v>
      </c>
      <c r="B136" s="1">
        <f t="shared" ca="1" si="20"/>
        <v>2</v>
      </c>
      <c r="C136">
        <v>417</v>
      </c>
      <c r="D136">
        <v>6</v>
      </c>
      <c r="E136">
        <v>40</v>
      </c>
      <c r="F136">
        <v>28</v>
      </c>
      <c r="G136">
        <v>6</v>
      </c>
      <c r="J136" s="8">
        <f t="shared" si="21"/>
        <v>0.15</v>
      </c>
      <c r="K136" s="8">
        <f t="shared" si="22"/>
        <v>10.425000000000001</v>
      </c>
      <c r="L136" s="8">
        <f t="shared" si="23"/>
        <v>1.4388489208633094E-2</v>
      </c>
      <c r="M136" s="15">
        <f t="shared" si="16"/>
        <v>1120</v>
      </c>
      <c r="N136" s="15">
        <f t="shared" si="17"/>
        <v>252</v>
      </c>
      <c r="O136" s="15">
        <f t="shared" si="18"/>
        <v>1372</v>
      </c>
      <c r="P136" s="15">
        <f t="shared" si="19"/>
        <v>3.290167865707434</v>
      </c>
      <c r="Q136" s="15"/>
    </row>
    <row r="137" spans="1:17">
      <c r="A137" s="2">
        <v>45853</v>
      </c>
      <c r="B137" s="1">
        <f t="shared" ca="1" si="20"/>
        <v>1</v>
      </c>
      <c r="C137">
        <v>333</v>
      </c>
      <c r="D137">
        <v>5</v>
      </c>
      <c r="E137">
        <v>60</v>
      </c>
      <c r="F137">
        <v>24</v>
      </c>
      <c r="G137">
        <v>6</v>
      </c>
      <c r="J137" s="8">
        <f t="shared" si="21"/>
        <v>8.3333333333333329E-2</v>
      </c>
      <c r="K137" s="8">
        <f t="shared" si="22"/>
        <v>5.55</v>
      </c>
      <c r="L137" s="8">
        <f t="shared" si="23"/>
        <v>1.5015015015015015E-2</v>
      </c>
      <c r="M137" s="15">
        <f t="shared" si="16"/>
        <v>1440</v>
      </c>
      <c r="N137" s="15">
        <f t="shared" si="17"/>
        <v>216</v>
      </c>
      <c r="O137" s="15">
        <f t="shared" si="18"/>
        <v>1656</v>
      </c>
      <c r="P137" s="15">
        <f t="shared" si="19"/>
        <v>4.9729729729729728</v>
      </c>
      <c r="Q137" s="15"/>
    </row>
    <row r="138" spans="1:17">
      <c r="A138" s="2">
        <v>45844</v>
      </c>
      <c r="B138" s="1">
        <f t="shared" ca="1" si="20"/>
        <v>2</v>
      </c>
      <c r="C138">
        <v>154</v>
      </c>
      <c r="D138">
        <v>5</v>
      </c>
      <c r="E138">
        <v>118</v>
      </c>
      <c r="F138">
        <v>23</v>
      </c>
      <c r="G138">
        <v>10</v>
      </c>
      <c r="J138" s="8">
        <f t="shared" si="21"/>
        <v>4.2372881355932202E-2</v>
      </c>
      <c r="K138" s="8">
        <f t="shared" si="22"/>
        <v>1.3050847457627119</v>
      </c>
      <c r="L138" s="8">
        <f t="shared" si="23"/>
        <v>3.2467532467532464E-2</v>
      </c>
      <c r="M138" s="15">
        <f t="shared" si="16"/>
        <v>2714</v>
      </c>
      <c r="N138" s="15">
        <f t="shared" si="17"/>
        <v>345</v>
      </c>
      <c r="O138" s="15">
        <f t="shared" si="18"/>
        <v>3059</v>
      </c>
      <c r="P138" s="15">
        <f t="shared" si="19"/>
        <v>19.863636363636363</v>
      </c>
      <c r="Q138" s="15"/>
    </row>
    <row r="139" spans="1:17">
      <c r="A139" s="2">
        <v>46003</v>
      </c>
      <c r="B139" s="1">
        <f t="shared" ca="1" si="20"/>
        <v>3</v>
      </c>
      <c r="C139">
        <v>393</v>
      </c>
      <c r="D139">
        <v>5</v>
      </c>
      <c r="E139">
        <v>93</v>
      </c>
      <c r="F139">
        <v>27</v>
      </c>
      <c r="G139">
        <v>5</v>
      </c>
      <c r="J139" s="8">
        <f t="shared" si="21"/>
        <v>5.3763440860215055E-2</v>
      </c>
      <c r="K139" s="8">
        <f t="shared" si="22"/>
        <v>4.225806451612903</v>
      </c>
      <c r="L139" s="8">
        <f t="shared" si="23"/>
        <v>1.2722646310432569E-2</v>
      </c>
      <c r="M139" s="15">
        <f t="shared" si="16"/>
        <v>2511</v>
      </c>
      <c r="N139" s="15">
        <f t="shared" si="17"/>
        <v>202.5</v>
      </c>
      <c r="O139" s="15">
        <f t="shared" si="18"/>
        <v>2713.5</v>
      </c>
      <c r="P139" s="15">
        <f t="shared" si="19"/>
        <v>6.9045801526717554</v>
      </c>
      <c r="Q139" s="15"/>
    </row>
    <row r="140" spans="1:17">
      <c r="A140" s="2">
        <v>45909</v>
      </c>
      <c r="B140" s="1">
        <f t="shared" ca="1" si="20"/>
        <v>1</v>
      </c>
      <c r="C140">
        <v>407</v>
      </c>
      <c r="D140">
        <v>3</v>
      </c>
      <c r="E140">
        <v>51</v>
      </c>
      <c r="F140">
        <v>21</v>
      </c>
      <c r="G140">
        <v>5</v>
      </c>
      <c r="J140" s="8">
        <f t="shared" si="21"/>
        <v>5.8823529411764705E-2</v>
      </c>
      <c r="K140" s="8">
        <f t="shared" si="22"/>
        <v>7.9803921568627452</v>
      </c>
      <c r="L140" s="8">
        <f t="shared" si="23"/>
        <v>7.3710073710073713E-3</v>
      </c>
      <c r="M140" s="15">
        <f t="shared" si="16"/>
        <v>1071</v>
      </c>
      <c r="N140" s="15">
        <f t="shared" si="17"/>
        <v>157.5</v>
      </c>
      <c r="O140" s="15">
        <f t="shared" si="18"/>
        <v>1228.5</v>
      </c>
      <c r="P140" s="15">
        <f t="shared" si="19"/>
        <v>3.0184275184275182</v>
      </c>
      <c r="Q140" s="15"/>
    </row>
    <row r="141" spans="1:17">
      <c r="A141" s="2">
        <v>45677</v>
      </c>
      <c r="B141" s="1">
        <f t="shared" ca="1" si="20"/>
        <v>1</v>
      </c>
      <c r="C141">
        <v>177</v>
      </c>
      <c r="D141">
        <v>2</v>
      </c>
      <c r="E141">
        <v>81</v>
      </c>
      <c r="F141">
        <v>30</v>
      </c>
      <c r="G141">
        <v>5</v>
      </c>
      <c r="J141" s="8">
        <f t="shared" si="21"/>
        <v>2.4691358024691357E-2</v>
      </c>
      <c r="K141" s="8">
        <f t="shared" si="22"/>
        <v>2.1851851851851851</v>
      </c>
      <c r="L141" s="8">
        <f t="shared" si="23"/>
        <v>1.1299435028248588E-2</v>
      </c>
      <c r="M141" s="15">
        <f t="shared" si="16"/>
        <v>2430</v>
      </c>
      <c r="N141" s="15">
        <f t="shared" si="17"/>
        <v>225</v>
      </c>
      <c r="O141" s="15">
        <f t="shared" si="18"/>
        <v>2655</v>
      </c>
      <c r="P141" s="15">
        <f t="shared" si="19"/>
        <v>15</v>
      </c>
      <c r="Q141" s="15"/>
    </row>
    <row r="142" spans="1:17">
      <c r="A142" s="2">
        <v>45867</v>
      </c>
      <c r="B142" s="1">
        <f t="shared" ca="1" si="20"/>
        <v>3</v>
      </c>
      <c r="C142">
        <v>153</v>
      </c>
      <c r="D142">
        <v>7</v>
      </c>
      <c r="E142">
        <v>103</v>
      </c>
      <c r="F142">
        <v>29</v>
      </c>
      <c r="G142">
        <v>9</v>
      </c>
      <c r="J142" s="8">
        <f t="shared" si="21"/>
        <v>6.7961165048543687E-2</v>
      </c>
      <c r="K142" s="8">
        <f t="shared" si="22"/>
        <v>1.4854368932038835</v>
      </c>
      <c r="L142" s="8">
        <f t="shared" si="23"/>
        <v>4.5751633986928102E-2</v>
      </c>
      <c r="M142" s="15">
        <f t="shared" si="16"/>
        <v>2987</v>
      </c>
      <c r="N142" s="15">
        <f t="shared" si="17"/>
        <v>391.5</v>
      </c>
      <c r="O142" s="15">
        <f t="shared" si="18"/>
        <v>3378.5</v>
      </c>
      <c r="P142" s="15">
        <f t="shared" si="19"/>
        <v>22.08169934640523</v>
      </c>
      <c r="Q142" s="15"/>
    </row>
    <row r="143" spans="1:17">
      <c r="A143" s="2">
        <v>45914</v>
      </c>
      <c r="B143" s="1">
        <f t="shared" ca="1" si="20"/>
        <v>1</v>
      </c>
      <c r="C143">
        <v>289</v>
      </c>
      <c r="D143">
        <v>4</v>
      </c>
      <c r="E143">
        <v>43</v>
      </c>
      <c r="F143">
        <v>27</v>
      </c>
      <c r="G143">
        <v>9</v>
      </c>
      <c r="J143" s="8">
        <f t="shared" si="21"/>
        <v>9.3023255813953487E-2</v>
      </c>
      <c r="K143" s="8">
        <f t="shared" si="22"/>
        <v>6.7209302325581399</v>
      </c>
      <c r="L143" s="8">
        <f t="shared" si="23"/>
        <v>1.384083044982699E-2</v>
      </c>
      <c r="M143" s="15">
        <f t="shared" si="16"/>
        <v>1161</v>
      </c>
      <c r="N143" s="15">
        <f t="shared" si="17"/>
        <v>364.5</v>
      </c>
      <c r="O143" s="15">
        <f t="shared" si="18"/>
        <v>1525.5</v>
      </c>
      <c r="P143" s="15">
        <f t="shared" si="19"/>
        <v>5.2785467128027683</v>
      </c>
      <c r="Q143" s="15"/>
    </row>
    <row r="144" spans="1:17">
      <c r="A144" s="2">
        <v>45996</v>
      </c>
      <c r="B144" s="1">
        <f t="shared" ca="1" si="20"/>
        <v>1</v>
      </c>
      <c r="C144">
        <v>329</v>
      </c>
      <c r="D144">
        <v>10</v>
      </c>
      <c r="E144">
        <v>120</v>
      </c>
      <c r="F144">
        <v>19</v>
      </c>
      <c r="G144">
        <v>10</v>
      </c>
      <c r="J144" s="8">
        <f t="shared" si="21"/>
        <v>8.3333333333333329E-2</v>
      </c>
      <c r="K144" s="8">
        <f t="shared" si="22"/>
        <v>2.7416666666666667</v>
      </c>
      <c r="L144" s="8">
        <f t="shared" si="23"/>
        <v>3.0395136778115502E-2</v>
      </c>
      <c r="M144" s="15">
        <f t="shared" si="16"/>
        <v>2280</v>
      </c>
      <c r="N144" s="15">
        <f t="shared" si="17"/>
        <v>285</v>
      </c>
      <c r="O144" s="15">
        <f t="shared" si="18"/>
        <v>2565</v>
      </c>
      <c r="P144" s="15">
        <f t="shared" si="19"/>
        <v>7.7963525835866259</v>
      </c>
      <c r="Q144" s="15"/>
    </row>
    <row r="145" spans="1:17">
      <c r="A145" s="2">
        <v>45703</v>
      </c>
      <c r="B145" s="1">
        <f t="shared" ca="1" si="20"/>
        <v>3</v>
      </c>
      <c r="C145">
        <v>263</v>
      </c>
      <c r="D145">
        <v>5</v>
      </c>
      <c r="E145">
        <v>108</v>
      </c>
      <c r="F145">
        <v>18</v>
      </c>
      <c r="G145">
        <v>8</v>
      </c>
      <c r="J145" s="8">
        <f t="shared" si="21"/>
        <v>4.6296296296296294E-2</v>
      </c>
      <c r="K145" s="8">
        <f t="shared" si="22"/>
        <v>2.4351851851851851</v>
      </c>
      <c r="L145" s="8">
        <f t="shared" si="23"/>
        <v>1.9011406844106463E-2</v>
      </c>
      <c r="M145" s="15">
        <f t="shared" si="16"/>
        <v>1944</v>
      </c>
      <c r="N145" s="15">
        <f t="shared" si="17"/>
        <v>216</v>
      </c>
      <c r="O145" s="15">
        <f t="shared" si="18"/>
        <v>2160</v>
      </c>
      <c r="P145" s="15">
        <f t="shared" si="19"/>
        <v>8.2129277566539916</v>
      </c>
      <c r="Q145" s="15"/>
    </row>
    <row r="146" spans="1:17">
      <c r="A146" s="2">
        <v>45853</v>
      </c>
      <c r="B146" s="1">
        <f t="shared" ca="1" si="20"/>
        <v>2</v>
      </c>
      <c r="C146">
        <v>234</v>
      </c>
      <c r="D146">
        <v>9</v>
      </c>
      <c r="E146">
        <v>58</v>
      </c>
      <c r="F146">
        <v>21</v>
      </c>
      <c r="G146">
        <v>6</v>
      </c>
      <c r="J146" s="8">
        <f t="shared" si="21"/>
        <v>0.15517241379310345</v>
      </c>
      <c r="K146" s="8">
        <f t="shared" si="22"/>
        <v>4.0344827586206895</v>
      </c>
      <c r="L146" s="8">
        <f t="shared" si="23"/>
        <v>3.8461538461538464E-2</v>
      </c>
      <c r="M146" s="15">
        <f t="shared" si="16"/>
        <v>1218</v>
      </c>
      <c r="N146" s="15">
        <f t="shared" si="17"/>
        <v>189</v>
      </c>
      <c r="O146" s="15">
        <f t="shared" si="18"/>
        <v>1407</v>
      </c>
      <c r="P146" s="15">
        <f t="shared" si="19"/>
        <v>6.0128205128205128</v>
      </c>
      <c r="Q146" s="15"/>
    </row>
    <row r="147" spans="1:17">
      <c r="A147" s="2">
        <v>45948</v>
      </c>
      <c r="B147" s="1">
        <f t="shared" ca="1" si="20"/>
        <v>3</v>
      </c>
      <c r="C147">
        <v>536</v>
      </c>
      <c r="D147">
        <v>4</v>
      </c>
      <c r="E147">
        <v>41</v>
      </c>
      <c r="F147">
        <v>23</v>
      </c>
      <c r="G147">
        <v>7</v>
      </c>
      <c r="J147" s="8">
        <f t="shared" si="21"/>
        <v>9.7560975609756101E-2</v>
      </c>
      <c r="K147" s="8">
        <f t="shared" si="22"/>
        <v>13.073170731707316</v>
      </c>
      <c r="L147" s="8">
        <f t="shared" si="23"/>
        <v>7.462686567164179E-3</v>
      </c>
      <c r="M147" s="15">
        <f t="shared" si="16"/>
        <v>943</v>
      </c>
      <c r="N147" s="15">
        <f t="shared" si="17"/>
        <v>241.5</v>
      </c>
      <c r="O147" s="15">
        <f t="shared" si="18"/>
        <v>1184.5</v>
      </c>
      <c r="P147" s="15">
        <f t="shared" si="19"/>
        <v>2.2098880597014925</v>
      </c>
      <c r="Q147" s="15"/>
    </row>
    <row r="148" spans="1:17">
      <c r="A148" s="2">
        <v>45991</v>
      </c>
      <c r="B148" s="1">
        <f t="shared" ca="1" si="20"/>
        <v>3</v>
      </c>
      <c r="C148">
        <v>583</v>
      </c>
      <c r="D148">
        <v>2</v>
      </c>
      <c r="E148">
        <v>80</v>
      </c>
      <c r="F148">
        <v>18</v>
      </c>
      <c r="G148">
        <v>6</v>
      </c>
      <c r="J148" s="8">
        <f t="shared" si="21"/>
        <v>2.5000000000000001E-2</v>
      </c>
      <c r="K148" s="8">
        <f t="shared" si="22"/>
        <v>7.2874999999999996</v>
      </c>
      <c r="L148" s="8">
        <f t="shared" si="23"/>
        <v>3.4305317324185248E-3</v>
      </c>
      <c r="M148" s="15">
        <f t="shared" si="16"/>
        <v>1440</v>
      </c>
      <c r="N148" s="15">
        <f t="shared" si="17"/>
        <v>162</v>
      </c>
      <c r="O148" s="15">
        <f t="shared" si="18"/>
        <v>1602</v>
      </c>
      <c r="P148" s="15">
        <f t="shared" si="19"/>
        <v>2.7478559176672386</v>
      </c>
      <c r="Q148" s="15"/>
    </row>
    <row r="149" spans="1:17">
      <c r="A149" s="2">
        <v>45843</v>
      </c>
      <c r="B149" s="1">
        <f t="shared" ca="1" si="20"/>
        <v>3</v>
      </c>
      <c r="C149">
        <v>567</v>
      </c>
      <c r="D149">
        <v>9</v>
      </c>
      <c r="E149">
        <v>72</v>
      </c>
      <c r="F149">
        <v>30</v>
      </c>
      <c r="G149">
        <v>10</v>
      </c>
      <c r="J149" s="8">
        <f t="shared" si="21"/>
        <v>0.125</v>
      </c>
      <c r="K149" s="8">
        <f t="shared" si="22"/>
        <v>7.875</v>
      </c>
      <c r="L149" s="8">
        <f t="shared" si="23"/>
        <v>1.5873015873015872E-2</v>
      </c>
      <c r="M149" s="15">
        <f t="shared" si="16"/>
        <v>2160</v>
      </c>
      <c r="N149" s="15">
        <f t="shared" si="17"/>
        <v>450</v>
      </c>
      <c r="O149" s="15">
        <f t="shared" si="18"/>
        <v>2610</v>
      </c>
      <c r="P149" s="15">
        <f t="shared" si="19"/>
        <v>4.6031746031746028</v>
      </c>
      <c r="Q149" s="15"/>
    </row>
    <row r="150" spans="1:17">
      <c r="A150" s="2">
        <v>45700</v>
      </c>
      <c r="B150" s="1">
        <f t="shared" ca="1" si="20"/>
        <v>3</v>
      </c>
      <c r="C150">
        <v>357</v>
      </c>
      <c r="D150">
        <v>7</v>
      </c>
      <c r="E150">
        <v>110</v>
      </c>
      <c r="F150">
        <v>23</v>
      </c>
      <c r="G150">
        <v>10</v>
      </c>
      <c r="J150" s="8">
        <f t="shared" si="21"/>
        <v>6.363636363636363E-2</v>
      </c>
      <c r="K150" s="8">
        <f t="shared" si="22"/>
        <v>3.2454545454545456</v>
      </c>
      <c r="L150" s="8">
        <f t="shared" si="23"/>
        <v>1.9607843137254902E-2</v>
      </c>
      <c r="M150" s="15">
        <f t="shared" si="16"/>
        <v>2530</v>
      </c>
      <c r="N150" s="15">
        <f t="shared" si="17"/>
        <v>345</v>
      </c>
      <c r="O150" s="15">
        <f t="shared" si="18"/>
        <v>2875</v>
      </c>
      <c r="P150" s="15">
        <f t="shared" si="19"/>
        <v>8.053221288515406</v>
      </c>
      <c r="Q150" s="15"/>
    </row>
    <row r="151" spans="1:17">
      <c r="A151" s="2">
        <v>45934</v>
      </c>
      <c r="B151" s="1">
        <f t="shared" ca="1" si="20"/>
        <v>3</v>
      </c>
      <c r="C151">
        <v>471</v>
      </c>
      <c r="D151">
        <v>5</v>
      </c>
      <c r="E151">
        <v>72</v>
      </c>
      <c r="F151">
        <v>19</v>
      </c>
      <c r="G151">
        <v>10</v>
      </c>
      <c r="J151" s="8">
        <f t="shared" si="21"/>
        <v>6.9444444444444448E-2</v>
      </c>
      <c r="K151" s="8">
        <f t="shared" si="22"/>
        <v>6.541666666666667</v>
      </c>
      <c r="L151" s="8">
        <f t="shared" si="23"/>
        <v>1.0615711252653927E-2</v>
      </c>
      <c r="M151" s="15">
        <f t="shared" si="16"/>
        <v>1368</v>
      </c>
      <c r="N151" s="15">
        <f t="shared" si="17"/>
        <v>285</v>
      </c>
      <c r="O151" s="15">
        <f t="shared" si="18"/>
        <v>1653</v>
      </c>
      <c r="P151" s="15">
        <f t="shared" si="19"/>
        <v>3.5095541401273884</v>
      </c>
      <c r="Q151" s="15"/>
    </row>
    <row r="152" spans="1:17">
      <c r="A152" s="2">
        <v>45798</v>
      </c>
      <c r="B152" s="1">
        <f t="shared" ca="1" si="20"/>
        <v>1</v>
      </c>
      <c r="C152">
        <v>166</v>
      </c>
      <c r="D152">
        <v>9</v>
      </c>
      <c r="E152">
        <v>107</v>
      </c>
      <c r="F152">
        <v>24</v>
      </c>
      <c r="G152">
        <v>6</v>
      </c>
      <c r="J152" s="8">
        <f t="shared" si="21"/>
        <v>8.4112149532710276E-2</v>
      </c>
      <c r="K152" s="8">
        <f t="shared" si="22"/>
        <v>1.5514018691588785</v>
      </c>
      <c r="L152" s="8">
        <f t="shared" si="23"/>
        <v>5.4216867469879519E-2</v>
      </c>
      <c r="M152" s="15">
        <f t="shared" si="16"/>
        <v>2568</v>
      </c>
      <c r="N152" s="15">
        <f t="shared" si="17"/>
        <v>216</v>
      </c>
      <c r="O152" s="15">
        <f t="shared" si="18"/>
        <v>2784</v>
      </c>
      <c r="P152" s="15">
        <f t="shared" si="19"/>
        <v>16.771084337349397</v>
      </c>
      <c r="Q152" s="15"/>
    </row>
    <row r="153" spans="1:17">
      <c r="A153" s="2">
        <v>45938</v>
      </c>
      <c r="B153" s="1">
        <f t="shared" ca="1" si="20"/>
        <v>1</v>
      </c>
      <c r="C153">
        <v>233</v>
      </c>
      <c r="D153">
        <v>4</v>
      </c>
      <c r="E153">
        <v>117</v>
      </c>
      <c r="F153">
        <v>20</v>
      </c>
      <c r="G153">
        <v>8</v>
      </c>
      <c r="J153" s="8">
        <f t="shared" si="21"/>
        <v>3.4188034188034191E-2</v>
      </c>
      <c r="K153" s="8">
        <f t="shared" si="22"/>
        <v>1.9914529914529915</v>
      </c>
      <c r="L153" s="8">
        <f t="shared" si="23"/>
        <v>1.7167381974248927E-2</v>
      </c>
      <c r="M153" s="15">
        <f t="shared" si="16"/>
        <v>2340</v>
      </c>
      <c r="N153" s="15">
        <f t="shared" si="17"/>
        <v>240</v>
      </c>
      <c r="O153" s="15">
        <f t="shared" si="18"/>
        <v>2580</v>
      </c>
      <c r="P153" s="15">
        <f t="shared" si="19"/>
        <v>11.072961373390559</v>
      </c>
      <c r="Q153" s="15"/>
    </row>
    <row r="154" spans="1:17">
      <c r="A154" s="2">
        <v>45882</v>
      </c>
      <c r="B154" s="1">
        <f t="shared" ca="1" si="20"/>
        <v>3</v>
      </c>
      <c r="C154">
        <v>314</v>
      </c>
      <c r="D154">
        <v>5</v>
      </c>
      <c r="E154">
        <v>103</v>
      </c>
      <c r="F154">
        <v>27</v>
      </c>
      <c r="G154">
        <v>7</v>
      </c>
      <c r="J154" s="8">
        <f t="shared" si="21"/>
        <v>4.8543689320388349E-2</v>
      </c>
      <c r="K154" s="8">
        <f t="shared" si="22"/>
        <v>3.0485436893203883</v>
      </c>
      <c r="L154" s="8">
        <f t="shared" si="23"/>
        <v>1.5923566878980892E-2</v>
      </c>
      <c r="M154" s="15">
        <f t="shared" si="16"/>
        <v>2781</v>
      </c>
      <c r="N154" s="15">
        <f t="shared" si="17"/>
        <v>283.5</v>
      </c>
      <c r="O154" s="15">
        <f t="shared" si="18"/>
        <v>3064.5</v>
      </c>
      <c r="P154" s="15">
        <f t="shared" si="19"/>
        <v>9.7595541401273884</v>
      </c>
      <c r="Q154" s="15"/>
    </row>
    <row r="155" spans="1:17">
      <c r="A155" s="2">
        <v>46013</v>
      </c>
      <c r="B155" s="1">
        <f t="shared" ca="1" si="20"/>
        <v>1</v>
      </c>
      <c r="C155">
        <v>280</v>
      </c>
      <c r="D155">
        <v>6</v>
      </c>
      <c r="E155">
        <v>107</v>
      </c>
      <c r="F155">
        <v>18</v>
      </c>
      <c r="G155">
        <v>10</v>
      </c>
      <c r="J155" s="8">
        <f t="shared" si="21"/>
        <v>5.6074766355140186E-2</v>
      </c>
      <c r="K155" s="8">
        <f t="shared" si="22"/>
        <v>2.6168224299065419</v>
      </c>
      <c r="L155" s="8">
        <f t="shared" si="23"/>
        <v>2.1428571428571429E-2</v>
      </c>
      <c r="M155" s="15">
        <f t="shared" si="16"/>
        <v>1926</v>
      </c>
      <c r="N155" s="15">
        <f t="shared" si="17"/>
        <v>270</v>
      </c>
      <c r="O155" s="15">
        <f t="shared" si="18"/>
        <v>2196</v>
      </c>
      <c r="P155" s="15">
        <f t="shared" si="19"/>
        <v>7.8428571428571425</v>
      </c>
      <c r="Q155" s="15"/>
    </row>
    <row r="156" spans="1:17">
      <c r="A156" s="2">
        <v>45809</v>
      </c>
      <c r="B156" s="1">
        <f t="shared" ca="1" si="20"/>
        <v>1</v>
      </c>
      <c r="C156">
        <v>433</v>
      </c>
      <c r="D156">
        <v>5</v>
      </c>
      <c r="E156">
        <v>73</v>
      </c>
      <c r="F156">
        <v>24</v>
      </c>
      <c r="G156">
        <v>8</v>
      </c>
      <c r="J156" s="8">
        <f t="shared" si="21"/>
        <v>6.8493150684931503E-2</v>
      </c>
      <c r="K156" s="8">
        <f t="shared" si="22"/>
        <v>5.9315068493150687</v>
      </c>
      <c r="L156" s="8">
        <f t="shared" si="23"/>
        <v>1.1547344110854504E-2</v>
      </c>
      <c r="M156" s="15">
        <f t="shared" si="16"/>
        <v>1752</v>
      </c>
      <c r="N156" s="15">
        <f t="shared" si="17"/>
        <v>288</v>
      </c>
      <c r="O156" s="15">
        <f t="shared" si="18"/>
        <v>2040</v>
      </c>
      <c r="P156" s="15">
        <f t="shared" si="19"/>
        <v>4.7113163972286376</v>
      </c>
      <c r="Q156" s="15"/>
    </row>
    <row r="157" spans="1:17">
      <c r="A157" s="2">
        <v>45957</v>
      </c>
      <c r="B157" s="1">
        <f t="shared" ca="1" si="20"/>
        <v>1</v>
      </c>
      <c r="C157">
        <v>150</v>
      </c>
      <c r="D157">
        <v>8</v>
      </c>
      <c r="E157">
        <v>65</v>
      </c>
      <c r="F157">
        <v>24</v>
      </c>
      <c r="G157">
        <v>9</v>
      </c>
      <c r="J157" s="8">
        <f t="shared" si="21"/>
        <v>0.12307692307692308</v>
      </c>
      <c r="K157" s="8">
        <f t="shared" si="22"/>
        <v>2.3076923076923075</v>
      </c>
      <c r="L157" s="8">
        <f t="shared" si="23"/>
        <v>5.3333333333333337E-2</v>
      </c>
      <c r="M157" s="15">
        <f t="shared" si="16"/>
        <v>1560</v>
      </c>
      <c r="N157" s="15">
        <f t="shared" si="17"/>
        <v>324</v>
      </c>
      <c r="O157" s="15">
        <f t="shared" si="18"/>
        <v>1884</v>
      </c>
      <c r="P157" s="15">
        <f t="shared" si="19"/>
        <v>12.56</v>
      </c>
      <c r="Q157" s="15"/>
    </row>
    <row r="158" spans="1:17">
      <c r="A158" s="2">
        <v>45840</v>
      </c>
      <c r="B158" s="1">
        <f t="shared" ca="1" si="20"/>
        <v>3</v>
      </c>
      <c r="C158">
        <v>456</v>
      </c>
      <c r="D158">
        <v>4</v>
      </c>
      <c r="E158">
        <v>58</v>
      </c>
      <c r="F158">
        <v>28</v>
      </c>
      <c r="G158">
        <v>8</v>
      </c>
      <c r="J158" s="8">
        <f t="shared" si="21"/>
        <v>6.8965517241379309E-2</v>
      </c>
      <c r="K158" s="8">
        <f t="shared" si="22"/>
        <v>7.8620689655172411</v>
      </c>
      <c r="L158" s="8">
        <f t="shared" si="23"/>
        <v>8.771929824561403E-3</v>
      </c>
      <c r="M158" s="15">
        <f t="shared" si="16"/>
        <v>1624</v>
      </c>
      <c r="N158" s="15">
        <f t="shared" si="17"/>
        <v>336</v>
      </c>
      <c r="O158" s="15">
        <f t="shared" si="18"/>
        <v>1960</v>
      </c>
      <c r="P158" s="15">
        <f t="shared" si="19"/>
        <v>4.2982456140350873</v>
      </c>
      <c r="Q158" s="15"/>
    </row>
    <row r="159" spans="1:17">
      <c r="A159" s="2">
        <v>45876</v>
      </c>
      <c r="B159" s="1">
        <f t="shared" ca="1" si="20"/>
        <v>2</v>
      </c>
      <c r="C159">
        <v>428</v>
      </c>
      <c r="D159">
        <v>10</v>
      </c>
      <c r="E159">
        <v>102</v>
      </c>
      <c r="F159">
        <v>28</v>
      </c>
      <c r="G159">
        <v>9</v>
      </c>
      <c r="J159" s="8">
        <f t="shared" si="21"/>
        <v>9.8039215686274508E-2</v>
      </c>
      <c r="K159" s="8">
        <f t="shared" si="22"/>
        <v>4.1960784313725492</v>
      </c>
      <c r="L159" s="8">
        <f t="shared" si="23"/>
        <v>2.336448598130841E-2</v>
      </c>
      <c r="M159" s="15">
        <f t="shared" si="16"/>
        <v>2856</v>
      </c>
      <c r="N159" s="15">
        <f t="shared" si="17"/>
        <v>378</v>
      </c>
      <c r="O159" s="15">
        <f t="shared" si="18"/>
        <v>3234</v>
      </c>
      <c r="P159" s="15">
        <f t="shared" si="19"/>
        <v>7.55607476635514</v>
      </c>
      <c r="Q159" s="15"/>
    </row>
    <row r="160" spans="1:17">
      <c r="A160" s="2">
        <v>45903</v>
      </c>
      <c r="B160" s="1">
        <f t="shared" ca="1" si="20"/>
        <v>1</v>
      </c>
      <c r="C160">
        <v>320</v>
      </c>
      <c r="D160">
        <v>10</v>
      </c>
      <c r="E160">
        <v>53</v>
      </c>
      <c r="F160">
        <v>29</v>
      </c>
      <c r="G160">
        <v>6</v>
      </c>
      <c r="J160" s="8">
        <f t="shared" si="21"/>
        <v>0.18867924528301888</v>
      </c>
      <c r="K160" s="8">
        <f t="shared" si="22"/>
        <v>6.0377358490566042</v>
      </c>
      <c r="L160" s="8">
        <f t="shared" si="23"/>
        <v>3.125E-2</v>
      </c>
      <c r="M160" s="15">
        <f t="shared" si="16"/>
        <v>1537</v>
      </c>
      <c r="N160" s="15">
        <f t="shared" si="17"/>
        <v>261</v>
      </c>
      <c r="O160" s="15">
        <f t="shared" si="18"/>
        <v>1798</v>
      </c>
      <c r="P160" s="15">
        <f t="shared" si="19"/>
        <v>5.6187500000000004</v>
      </c>
      <c r="Q160" s="15"/>
    </row>
    <row r="161" spans="1:17">
      <c r="A161" s="2">
        <v>45672</v>
      </c>
      <c r="B161" s="1">
        <f t="shared" ca="1" si="20"/>
        <v>1</v>
      </c>
      <c r="C161">
        <v>209</v>
      </c>
      <c r="D161">
        <v>10</v>
      </c>
      <c r="E161">
        <v>51</v>
      </c>
      <c r="F161">
        <v>21</v>
      </c>
      <c r="G161">
        <v>8</v>
      </c>
      <c r="J161" s="8">
        <f t="shared" si="21"/>
        <v>0.19607843137254902</v>
      </c>
      <c r="K161" s="8">
        <f t="shared" si="22"/>
        <v>4.0980392156862742</v>
      </c>
      <c r="L161" s="8">
        <f t="shared" si="23"/>
        <v>4.784688995215311E-2</v>
      </c>
      <c r="M161" s="15">
        <f t="shared" si="16"/>
        <v>1071</v>
      </c>
      <c r="N161" s="15">
        <f t="shared" si="17"/>
        <v>252</v>
      </c>
      <c r="O161" s="15">
        <f t="shared" si="18"/>
        <v>1323</v>
      </c>
      <c r="P161" s="15">
        <f t="shared" si="19"/>
        <v>6.3301435406698561</v>
      </c>
      <c r="Q161" s="15"/>
    </row>
    <row r="162" spans="1:17">
      <c r="A162" s="2">
        <v>45980</v>
      </c>
      <c r="B162" s="1">
        <f t="shared" ca="1" si="20"/>
        <v>3</v>
      </c>
      <c r="C162">
        <v>260</v>
      </c>
      <c r="D162">
        <v>2</v>
      </c>
      <c r="E162">
        <v>59</v>
      </c>
      <c r="F162">
        <v>22</v>
      </c>
      <c r="G162">
        <v>9</v>
      </c>
      <c r="J162" s="8">
        <f t="shared" si="21"/>
        <v>3.3898305084745763E-2</v>
      </c>
      <c r="K162" s="8">
        <f t="shared" si="22"/>
        <v>4.406779661016949</v>
      </c>
      <c r="L162" s="8">
        <f t="shared" si="23"/>
        <v>7.6923076923076927E-3</v>
      </c>
      <c r="M162" s="15">
        <f t="shared" si="16"/>
        <v>1298</v>
      </c>
      <c r="N162" s="15">
        <f t="shared" si="17"/>
        <v>297</v>
      </c>
      <c r="O162" s="15">
        <f t="shared" si="18"/>
        <v>1595</v>
      </c>
      <c r="P162" s="15">
        <f t="shared" si="19"/>
        <v>6.134615384615385</v>
      </c>
      <c r="Q162" s="15"/>
    </row>
    <row r="163" spans="1:17">
      <c r="A163" s="2">
        <v>45832</v>
      </c>
      <c r="B163" s="1">
        <f t="shared" ca="1" si="20"/>
        <v>1</v>
      </c>
      <c r="C163">
        <v>595</v>
      </c>
      <c r="D163">
        <v>3</v>
      </c>
      <c r="E163">
        <v>80</v>
      </c>
      <c r="F163">
        <v>30</v>
      </c>
      <c r="G163">
        <v>9</v>
      </c>
      <c r="J163" s="8">
        <f t="shared" si="21"/>
        <v>3.7499999999999999E-2</v>
      </c>
      <c r="K163" s="8">
        <f t="shared" si="22"/>
        <v>7.4375</v>
      </c>
      <c r="L163" s="8">
        <f t="shared" si="23"/>
        <v>5.0420168067226894E-3</v>
      </c>
      <c r="M163" s="15">
        <f t="shared" si="16"/>
        <v>2400</v>
      </c>
      <c r="N163" s="15">
        <f t="shared" si="17"/>
        <v>405</v>
      </c>
      <c r="O163" s="15">
        <f t="shared" si="18"/>
        <v>2805</v>
      </c>
      <c r="P163" s="15">
        <f t="shared" si="19"/>
        <v>4.7142857142857144</v>
      </c>
      <c r="Q163" s="15"/>
    </row>
    <row r="164" spans="1:17">
      <c r="A164" s="2">
        <v>45842</v>
      </c>
      <c r="B164" s="1">
        <f t="shared" ca="1" si="20"/>
        <v>3</v>
      </c>
      <c r="C164">
        <v>450</v>
      </c>
      <c r="D164">
        <v>8</v>
      </c>
      <c r="E164">
        <v>81</v>
      </c>
      <c r="F164">
        <v>30</v>
      </c>
      <c r="G164">
        <v>10</v>
      </c>
      <c r="J164" s="8">
        <f t="shared" si="21"/>
        <v>9.8765432098765427E-2</v>
      </c>
      <c r="K164" s="8">
        <f t="shared" si="22"/>
        <v>5.5555555555555554</v>
      </c>
      <c r="L164" s="8">
        <f t="shared" si="23"/>
        <v>1.7777777777777778E-2</v>
      </c>
      <c r="M164" s="15">
        <f t="shared" si="16"/>
        <v>2430</v>
      </c>
      <c r="N164" s="15">
        <f t="shared" si="17"/>
        <v>450</v>
      </c>
      <c r="O164" s="15">
        <f t="shared" si="18"/>
        <v>2880</v>
      </c>
      <c r="P164" s="15">
        <f t="shared" si="19"/>
        <v>6.4</v>
      </c>
      <c r="Q164" s="15"/>
    </row>
    <row r="165" spans="1:17">
      <c r="A165" s="2">
        <v>46022</v>
      </c>
      <c r="B165" s="1">
        <f t="shared" ca="1" si="20"/>
        <v>2</v>
      </c>
      <c r="C165">
        <v>228</v>
      </c>
      <c r="D165">
        <v>3</v>
      </c>
      <c r="E165">
        <v>92</v>
      </c>
      <c r="F165">
        <v>20</v>
      </c>
      <c r="G165">
        <v>7</v>
      </c>
      <c r="J165" s="8">
        <f t="shared" si="21"/>
        <v>3.2608695652173912E-2</v>
      </c>
      <c r="K165" s="8">
        <f t="shared" si="22"/>
        <v>2.4782608695652173</v>
      </c>
      <c r="L165" s="8">
        <f t="shared" si="23"/>
        <v>1.3157894736842105E-2</v>
      </c>
      <c r="M165" s="15">
        <f t="shared" si="16"/>
        <v>1840</v>
      </c>
      <c r="N165" s="15">
        <f t="shared" si="17"/>
        <v>210</v>
      </c>
      <c r="O165" s="15">
        <f t="shared" si="18"/>
        <v>2050</v>
      </c>
      <c r="P165" s="15">
        <f t="shared" si="19"/>
        <v>8.9912280701754383</v>
      </c>
      <c r="Q165" s="15"/>
    </row>
    <row r="166" spans="1:17">
      <c r="A166" s="2">
        <v>46011</v>
      </c>
      <c r="B166" s="1">
        <f t="shared" ca="1" si="20"/>
        <v>1</v>
      </c>
      <c r="C166">
        <v>498</v>
      </c>
      <c r="D166">
        <v>5</v>
      </c>
      <c r="E166">
        <v>119</v>
      </c>
      <c r="F166">
        <v>19</v>
      </c>
      <c r="G166">
        <v>9</v>
      </c>
      <c r="J166" s="8">
        <f t="shared" si="21"/>
        <v>4.2016806722689079E-2</v>
      </c>
      <c r="K166" s="8">
        <f t="shared" si="22"/>
        <v>4.1848739495798322</v>
      </c>
      <c r="L166" s="8">
        <f t="shared" si="23"/>
        <v>1.0040160642570281E-2</v>
      </c>
      <c r="M166" s="15">
        <f t="shared" si="16"/>
        <v>2261</v>
      </c>
      <c r="N166" s="15">
        <f t="shared" si="17"/>
        <v>256.5</v>
      </c>
      <c r="O166" s="15">
        <f t="shared" si="18"/>
        <v>2517.5</v>
      </c>
      <c r="P166" s="15">
        <f t="shared" si="19"/>
        <v>5.0552208835341368</v>
      </c>
      <c r="Q166" s="15"/>
    </row>
    <row r="167" spans="1:17">
      <c r="A167" s="2">
        <v>45975</v>
      </c>
      <c r="B167" s="1">
        <f t="shared" ca="1" si="20"/>
        <v>1</v>
      </c>
      <c r="C167">
        <v>530</v>
      </c>
      <c r="D167">
        <v>2</v>
      </c>
      <c r="E167">
        <v>64</v>
      </c>
      <c r="F167">
        <v>21</v>
      </c>
      <c r="G167">
        <v>7</v>
      </c>
      <c r="J167" s="8">
        <f t="shared" si="21"/>
        <v>3.125E-2</v>
      </c>
      <c r="K167" s="8">
        <f t="shared" si="22"/>
        <v>8.28125</v>
      </c>
      <c r="L167" s="8">
        <f t="shared" si="23"/>
        <v>3.7735849056603774E-3</v>
      </c>
      <c r="M167" s="15">
        <f t="shared" si="16"/>
        <v>1344</v>
      </c>
      <c r="N167" s="15">
        <f t="shared" si="17"/>
        <v>220.5</v>
      </c>
      <c r="O167" s="15">
        <f t="shared" si="18"/>
        <v>1564.5</v>
      </c>
      <c r="P167" s="15">
        <f t="shared" si="19"/>
        <v>2.95188679245283</v>
      </c>
      <c r="Q167" s="15"/>
    </row>
    <row r="168" spans="1:17">
      <c r="A168" s="2">
        <v>45703</v>
      </c>
      <c r="B168" s="1">
        <f t="shared" ca="1" si="20"/>
        <v>1</v>
      </c>
      <c r="C168">
        <v>188</v>
      </c>
      <c r="D168">
        <v>5</v>
      </c>
      <c r="E168">
        <v>101</v>
      </c>
      <c r="F168">
        <v>20</v>
      </c>
      <c r="G168">
        <v>9</v>
      </c>
      <c r="J168" s="8">
        <f t="shared" si="21"/>
        <v>4.9504950495049507E-2</v>
      </c>
      <c r="K168" s="8">
        <f t="shared" si="22"/>
        <v>1.8613861386138615</v>
      </c>
      <c r="L168" s="8">
        <f t="shared" si="23"/>
        <v>2.6595744680851064E-2</v>
      </c>
      <c r="M168" s="15">
        <f t="shared" si="16"/>
        <v>2020</v>
      </c>
      <c r="N168" s="15">
        <f t="shared" si="17"/>
        <v>270</v>
      </c>
      <c r="O168" s="15">
        <f t="shared" si="18"/>
        <v>2290</v>
      </c>
      <c r="P168" s="15">
        <f t="shared" si="19"/>
        <v>12.180851063829786</v>
      </c>
      <c r="Q168" s="15"/>
    </row>
    <row r="169" spans="1:17">
      <c r="A169" s="2">
        <v>45686</v>
      </c>
      <c r="B169" s="1">
        <f t="shared" ca="1" si="20"/>
        <v>2</v>
      </c>
      <c r="C169">
        <v>598</v>
      </c>
      <c r="D169">
        <v>4</v>
      </c>
      <c r="E169">
        <v>70</v>
      </c>
      <c r="F169">
        <v>23</v>
      </c>
      <c r="G169">
        <v>5</v>
      </c>
      <c r="J169" s="8">
        <f t="shared" si="21"/>
        <v>5.7142857142857141E-2</v>
      </c>
      <c r="K169" s="8">
        <f t="shared" si="22"/>
        <v>8.5428571428571427</v>
      </c>
      <c r="L169" s="8">
        <f t="shared" si="23"/>
        <v>6.688963210702341E-3</v>
      </c>
      <c r="M169" s="15">
        <f t="shared" si="16"/>
        <v>1610</v>
      </c>
      <c r="N169" s="15">
        <f t="shared" si="17"/>
        <v>172.5</v>
      </c>
      <c r="O169" s="15">
        <f t="shared" si="18"/>
        <v>1782.5</v>
      </c>
      <c r="P169" s="15">
        <f t="shared" si="19"/>
        <v>2.9807692307692308</v>
      </c>
      <c r="Q169" s="15"/>
    </row>
    <row r="170" spans="1:17">
      <c r="A170" s="2">
        <v>45843</v>
      </c>
      <c r="B170" s="1">
        <f t="shared" ca="1" si="20"/>
        <v>1</v>
      </c>
      <c r="C170">
        <v>394</v>
      </c>
      <c r="D170">
        <v>10</v>
      </c>
      <c r="E170">
        <v>88</v>
      </c>
      <c r="F170">
        <v>23</v>
      </c>
      <c r="G170">
        <v>10</v>
      </c>
      <c r="J170" s="8">
        <f t="shared" si="21"/>
        <v>0.11363636363636363</v>
      </c>
      <c r="K170" s="8">
        <f t="shared" si="22"/>
        <v>4.4772727272727275</v>
      </c>
      <c r="L170" s="8">
        <f t="shared" si="23"/>
        <v>2.5380710659898477E-2</v>
      </c>
      <c r="M170" s="15">
        <f t="shared" si="16"/>
        <v>2024</v>
      </c>
      <c r="N170" s="15">
        <f t="shared" si="17"/>
        <v>345</v>
      </c>
      <c r="O170" s="15">
        <f t="shared" si="18"/>
        <v>2369</v>
      </c>
      <c r="P170" s="15">
        <f t="shared" si="19"/>
        <v>6.0126903553299496</v>
      </c>
      <c r="Q170" s="15"/>
    </row>
    <row r="171" spans="1:17">
      <c r="A171" s="2">
        <v>45687</v>
      </c>
      <c r="B171" s="1">
        <f t="shared" ca="1" si="20"/>
        <v>2</v>
      </c>
      <c r="C171">
        <v>155</v>
      </c>
      <c r="D171">
        <v>4</v>
      </c>
      <c r="E171">
        <v>77</v>
      </c>
      <c r="F171">
        <v>23</v>
      </c>
      <c r="G171">
        <v>10</v>
      </c>
      <c r="J171" s="8">
        <f t="shared" si="21"/>
        <v>5.1948051948051951E-2</v>
      </c>
      <c r="K171" s="8">
        <f t="shared" si="22"/>
        <v>2.0129870129870131</v>
      </c>
      <c r="L171" s="8">
        <f t="shared" si="23"/>
        <v>2.5806451612903226E-2</v>
      </c>
      <c r="M171" s="15">
        <f t="shared" si="16"/>
        <v>1771</v>
      </c>
      <c r="N171" s="15">
        <f t="shared" si="17"/>
        <v>345</v>
      </c>
      <c r="O171" s="15">
        <f t="shared" si="18"/>
        <v>2116</v>
      </c>
      <c r="P171" s="15">
        <f t="shared" si="19"/>
        <v>13.651612903225807</v>
      </c>
      <c r="Q171" s="15"/>
    </row>
    <row r="172" spans="1:17">
      <c r="A172" s="2">
        <v>45928</v>
      </c>
      <c r="B172" s="1">
        <f t="shared" ca="1" si="20"/>
        <v>3</v>
      </c>
      <c r="C172">
        <v>295</v>
      </c>
      <c r="D172">
        <v>6</v>
      </c>
      <c r="E172">
        <v>113</v>
      </c>
      <c r="F172">
        <v>18</v>
      </c>
      <c r="G172">
        <v>6</v>
      </c>
      <c r="J172" s="8">
        <f t="shared" si="21"/>
        <v>5.3097345132743362E-2</v>
      </c>
      <c r="K172" s="8">
        <f t="shared" si="22"/>
        <v>2.6106194690265485</v>
      </c>
      <c r="L172" s="8">
        <f t="shared" si="23"/>
        <v>2.0338983050847456E-2</v>
      </c>
      <c r="M172" s="15">
        <f t="shared" si="16"/>
        <v>2034</v>
      </c>
      <c r="N172" s="15">
        <f t="shared" si="17"/>
        <v>162</v>
      </c>
      <c r="O172" s="15">
        <f t="shared" si="18"/>
        <v>2196</v>
      </c>
      <c r="P172" s="15">
        <f t="shared" si="19"/>
        <v>7.4440677966101694</v>
      </c>
      <c r="Q172" s="15"/>
    </row>
    <row r="173" spans="1:17">
      <c r="A173" s="2">
        <v>45775</v>
      </c>
      <c r="B173" s="1">
        <f t="shared" ca="1" si="20"/>
        <v>3</v>
      </c>
      <c r="C173">
        <v>452</v>
      </c>
      <c r="D173">
        <v>9</v>
      </c>
      <c r="E173">
        <v>50</v>
      </c>
      <c r="F173">
        <v>18</v>
      </c>
      <c r="G173">
        <v>8</v>
      </c>
      <c r="J173" s="8">
        <f t="shared" si="21"/>
        <v>0.18</v>
      </c>
      <c r="K173" s="8">
        <f t="shared" si="22"/>
        <v>9.0399999999999991</v>
      </c>
      <c r="L173" s="8">
        <f t="shared" si="23"/>
        <v>1.9911504424778761E-2</v>
      </c>
      <c r="M173" s="15">
        <f t="shared" si="16"/>
        <v>900</v>
      </c>
      <c r="N173" s="15">
        <f t="shared" si="17"/>
        <v>216</v>
      </c>
      <c r="O173" s="15">
        <f t="shared" si="18"/>
        <v>1116</v>
      </c>
      <c r="P173" s="15">
        <f t="shared" si="19"/>
        <v>2.4690265486725664</v>
      </c>
      <c r="Q173" s="15"/>
    </row>
    <row r="174" spans="1:17">
      <c r="A174" s="2">
        <v>45917</v>
      </c>
      <c r="B174" s="1">
        <f t="shared" ca="1" si="20"/>
        <v>3</v>
      </c>
      <c r="C174">
        <v>439</v>
      </c>
      <c r="D174">
        <v>5</v>
      </c>
      <c r="E174">
        <v>112</v>
      </c>
      <c r="F174">
        <v>24</v>
      </c>
      <c r="G174">
        <v>6</v>
      </c>
      <c r="J174" s="8">
        <f t="shared" si="21"/>
        <v>4.4642857142857144E-2</v>
      </c>
      <c r="K174" s="8">
        <f t="shared" si="22"/>
        <v>3.9196428571428572</v>
      </c>
      <c r="L174" s="8">
        <f t="shared" si="23"/>
        <v>1.1389521640091117E-2</v>
      </c>
      <c r="M174" s="15">
        <f t="shared" si="16"/>
        <v>2688</v>
      </c>
      <c r="N174" s="15">
        <f t="shared" si="17"/>
        <v>216</v>
      </c>
      <c r="O174" s="15">
        <f t="shared" si="18"/>
        <v>2904</v>
      </c>
      <c r="P174" s="15">
        <f t="shared" si="19"/>
        <v>6.6150341685649199</v>
      </c>
      <c r="Q174" s="15"/>
    </row>
    <row r="175" spans="1:17">
      <c r="A175" s="2">
        <v>45830</v>
      </c>
      <c r="B175" s="1">
        <f t="shared" ca="1" si="20"/>
        <v>2</v>
      </c>
      <c r="C175">
        <v>453</v>
      </c>
      <c r="D175">
        <v>6</v>
      </c>
      <c r="E175">
        <v>85</v>
      </c>
      <c r="F175">
        <v>22</v>
      </c>
      <c r="G175">
        <v>8</v>
      </c>
      <c r="J175" s="8">
        <f t="shared" si="21"/>
        <v>7.0588235294117646E-2</v>
      </c>
      <c r="K175" s="8">
        <f t="shared" si="22"/>
        <v>5.3294117647058821</v>
      </c>
      <c r="L175" s="8">
        <f t="shared" si="23"/>
        <v>1.3245033112582781E-2</v>
      </c>
      <c r="M175" s="15">
        <f t="shared" si="16"/>
        <v>1870</v>
      </c>
      <c r="N175" s="15">
        <f t="shared" si="17"/>
        <v>264</v>
      </c>
      <c r="O175" s="15">
        <f t="shared" si="18"/>
        <v>2134</v>
      </c>
      <c r="P175" s="15">
        <f t="shared" si="19"/>
        <v>4.7108167770419422</v>
      </c>
      <c r="Q175" s="15"/>
    </row>
    <row r="176" spans="1:17">
      <c r="A176" s="2">
        <v>45681</v>
      </c>
      <c r="B176" s="1">
        <f t="shared" ca="1" si="20"/>
        <v>3</v>
      </c>
      <c r="C176">
        <v>153</v>
      </c>
      <c r="D176">
        <v>6</v>
      </c>
      <c r="E176">
        <v>118</v>
      </c>
      <c r="F176">
        <v>29</v>
      </c>
      <c r="G176">
        <v>5</v>
      </c>
      <c r="J176" s="8">
        <f t="shared" si="21"/>
        <v>5.0847457627118647E-2</v>
      </c>
      <c r="K176" s="8">
        <f t="shared" si="22"/>
        <v>1.2966101694915255</v>
      </c>
      <c r="L176" s="8">
        <f t="shared" si="23"/>
        <v>3.9215686274509803E-2</v>
      </c>
      <c r="M176" s="15">
        <f t="shared" si="16"/>
        <v>3422</v>
      </c>
      <c r="N176" s="15">
        <f t="shared" si="17"/>
        <v>217.5</v>
      </c>
      <c r="O176" s="15">
        <f t="shared" si="18"/>
        <v>3639.5</v>
      </c>
      <c r="P176" s="15">
        <f t="shared" si="19"/>
        <v>23.787581699346404</v>
      </c>
      <c r="Q176" s="15"/>
    </row>
    <row r="177" spans="1:17">
      <c r="A177" s="2">
        <v>45971</v>
      </c>
      <c r="B177" s="1">
        <f t="shared" ca="1" si="20"/>
        <v>3</v>
      </c>
      <c r="C177">
        <v>274</v>
      </c>
      <c r="D177">
        <v>9</v>
      </c>
      <c r="E177">
        <v>44</v>
      </c>
      <c r="F177">
        <v>24</v>
      </c>
      <c r="G177">
        <v>9</v>
      </c>
      <c r="J177" s="8">
        <f t="shared" si="21"/>
        <v>0.20454545454545456</v>
      </c>
      <c r="K177" s="8">
        <f t="shared" si="22"/>
        <v>6.2272727272727275</v>
      </c>
      <c r="L177" s="8">
        <f t="shared" si="23"/>
        <v>3.2846715328467155E-2</v>
      </c>
      <c r="M177" s="15">
        <f t="shared" si="16"/>
        <v>1056</v>
      </c>
      <c r="N177" s="15">
        <f t="shared" si="17"/>
        <v>324</v>
      </c>
      <c r="O177" s="15">
        <f t="shared" si="18"/>
        <v>1380</v>
      </c>
      <c r="P177" s="15">
        <f t="shared" si="19"/>
        <v>5.0364963503649633</v>
      </c>
      <c r="Q177" s="15"/>
    </row>
    <row r="178" spans="1:17">
      <c r="A178" s="2">
        <v>45866</v>
      </c>
      <c r="B178" s="1">
        <f t="shared" ca="1" si="20"/>
        <v>1</v>
      </c>
      <c r="C178">
        <v>170</v>
      </c>
      <c r="D178">
        <v>3</v>
      </c>
      <c r="E178">
        <v>118</v>
      </c>
      <c r="F178">
        <v>18</v>
      </c>
      <c r="G178">
        <v>7</v>
      </c>
      <c r="J178" s="8">
        <f t="shared" si="21"/>
        <v>2.5423728813559324E-2</v>
      </c>
      <c r="K178" s="8">
        <f t="shared" si="22"/>
        <v>1.4406779661016949</v>
      </c>
      <c r="L178" s="8">
        <f t="shared" si="23"/>
        <v>1.7647058823529412E-2</v>
      </c>
      <c r="M178" s="15">
        <f t="shared" si="16"/>
        <v>2124</v>
      </c>
      <c r="N178" s="15">
        <f t="shared" si="17"/>
        <v>189</v>
      </c>
      <c r="O178" s="15">
        <f t="shared" si="18"/>
        <v>2313</v>
      </c>
      <c r="P178" s="15">
        <f t="shared" si="19"/>
        <v>13.605882352941176</v>
      </c>
      <c r="Q178" s="15"/>
    </row>
    <row r="179" spans="1:17">
      <c r="A179" s="2">
        <v>45943</v>
      </c>
      <c r="B179" s="1">
        <f t="shared" ca="1" si="20"/>
        <v>1</v>
      </c>
      <c r="C179">
        <v>422</v>
      </c>
      <c r="D179">
        <v>8</v>
      </c>
      <c r="E179">
        <v>40</v>
      </c>
      <c r="F179">
        <v>28</v>
      </c>
      <c r="G179">
        <v>7</v>
      </c>
      <c r="J179" s="8">
        <f t="shared" si="21"/>
        <v>0.2</v>
      </c>
      <c r="K179" s="8">
        <f t="shared" si="22"/>
        <v>10.55</v>
      </c>
      <c r="L179" s="8">
        <f t="shared" si="23"/>
        <v>1.8957345971563982E-2</v>
      </c>
      <c r="M179" s="15">
        <f t="shared" si="16"/>
        <v>1120</v>
      </c>
      <c r="N179" s="15">
        <f t="shared" si="17"/>
        <v>294</v>
      </c>
      <c r="O179" s="15">
        <f t="shared" si="18"/>
        <v>1414</v>
      </c>
      <c r="P179" s="15">
        <f t="shared" si="19"/>
        <v>3.3507109004739335</v>
      </c>
      <c r="Q179" s="15"/>
    </row>
    <row r="180" spans="1:17">
      <c r="A180" s="2">
        <v>45709</v>
      </c>
      <c r="B180" s="1">
        <f t="shared" ca="1" si="20"/>
        <v>3</v>
      </c>
      <c r="C180">
        <v>540</v>
      </c>
      <c r="D180">
        <v>8</v>
      </c>
      <c r="E180">
        <v>43</v>
      </c>
      <c r="F180">
        <v>20</v>
      </c>
      <c r="G180">
        <v>10</v>
      </c>
      <c r="J180" s="8">
        <f t="shared" si="21"/>
        <v>0.18604651162790697</v>
      </c>
      <c r="K180" s="8">
        <f t="shared" si="22"/>
        <v>12.55813953488372</v>
      </c>
      <c r="L180" s="8">
        <f t="shared" si="23"/>
        <v>1.4814814814814815E-2</v>
      </c>
      <c r="M180" s="15">
        <f t="shared" si="16"/>
        <v>860</v>
      </c>
      <c r="N180" s="15">
        <f t="shared" si="17"/>
        <v>300</v>
      </c>
      <c r="O180" s="15">
        <f t="shared" si="18"/>
        <v>1160</v>
      </c>
      <c r="P180" s="15">
        <f t="shared" si="19"/>
        <v>2.1481481481481484</v>
      </c>
      <c r="Q180" s="15"/>
    </row>
    <row r="181" spans="1:17">
      <c r="A181" s="2">
        <v>45920</v>
      </c>
      <c r="B181" s="1">
        <f t="shared" ca="1" si="20"/>
        <v>2</v>
      </c>
      <c r="C181">
        <v>500</v>
      </c>
      <c r="D181">
        <v>9</v>
      </c>
      <c r="E181">
        <v>54</v>
      </c>
      <c r="F181">
        <v>22</v>
      </c>
      <c r="G181">
        <v>6</v>
      </c>
      <c r="J181" s="8">
        <f t="shared" si="21"/>
        <v>0.16666666666666666</v>
      </c>
      <c r="K181" s="8">
        <f t="shared" si="22"/>
        <v>9.2592592592592595</v>
      </c>
      <c r="L181" s="8">
        <f t="shared" si="23"/>
        <v>1.7999999999999999E-2</v>
      </c>
      <c r="M181" s="15">
        <f t="shared" si="16"/>
        <v>1188</v>
      </c>
      <c r="N181" s="15">
        <f t="shared" si="17"/>
        <v>198</v>
      </c>
      <c r="O181" s="15">
        <f t="shared" si="18"/>
        <v>1386</v>
      </c>
      <c r="P181" s="15">
        <f t="shared" si="19"/>
        <v>2.7719999999999998</v>
      </c>
      <c r="Q181" s="15"/>
    </row>
    <row r="182" spans="1:17">
      <c r="A182" s="2">
        <v>45788</v>
      </c>
      <c r="B182" s="1">
        <f t="shared" ca="1" si="20"/>
        <v>1</v>
      </c>
      <c r="C182">
        <v>256</v>
      </c>
      <c r="D182">
        <v>9</v>
      </c>
      <c r="E182">
        <v>99</v>
      </c>
      <c r="F182">
        <v>24</v>
      </c>
      <c r="G182">
        <v>6</v>
      </c>
      <c r="J182" s="8">
        <f t="shared" si="21"/>
        <v>9.0909090909090912E-2</v>
      </c>
      <c r="K182" s="8">
        <f t="shared" si="22"/>
        <v>2.5858585858585861</v>
      </c>
      <c r="L182" s="8">
        <f t="shared" si="23"/>
        <v>3.515625E-2</v>
      </c>
      <c r="M182" s="15">
        <f t="shared" si="16"/>
        <v>2376</v>
      </c>
      <c r="N182" s="15">
        <f t="shared" si="17"/>
        <v>216</v>
      </c>
      <c r="O182" s="15">
        <f t="shared" si="18"/>
        <v>2592</v>
      </c>
      <c r="P182" s="15">
        <f t="shared" si="19"/>
        <v>10.125</v>
      </c>
      <c r="Q182" s="15"/>
    </row>
    <row r="183" spans="1:17">
      <c r="A183" s="2">
        <v>45829</v>
      </c>
      <c r="B183" s="1">
        <f t="shared" ca="1" si="20"/>
        <v>1</v>
      </c>
      <c r="C183">
        <v>447</v>
      </c>
      <c r="D183">
        <v>6</v>
      </c>
      <c r="E183">
        <v>43</v>
      </c>
      <c r="F183">
        <v>25</v>
      </c>
      <c r="G183">
        <v>8</v>
      </c>
      <c r="J183" s="8">
        <f t="shared" si="21"/>
        <v>0.13953488372093023</v>
      </c>
      <c r="K183" s="8">
        <f t="shared" si="22"/>
        <v>10.395348837209303</v>
      </c>
      <c r="L183" s="8">
        <f t="shared" si="23"/>
        <v>1.3422818791946308E-2</v>
      </c>
      <c r="M183" s="15">
        <f t="shared" si="16"/>
        <v>1075</v>
      </c>
      <c r="N183" s="15">
        <f t="shared" si="17"/>
        <v>300</v>
      </c>
      <c r="O183" s="15">
        <f t="shared" si="18"/>
        <v>1375</v>
      </c>
      <c r="P183" s="15">
        <f t="shared" si="19"/>
        <v>3.0760626398210289</v>
      </c>
      <c r="Q183" s="15"/>
    </row>
    <row r="184" spans="1:17">
      <c r="A184" s="2">
        <v>45947</v>
      </c>
      <c r="B184" s="1">
        <f t="shared" ca="1" si="20"/>
        <v>2</v>
      </c>
      <c r="C184">
        <v>184</v>
      </c>
      <c r="D184">
        <v>3</v>
      </c>
      <c r="E184">
        <v>44</v>
      </c>
      <c r="F184">
        <v>24</v>
      </c>
      <c r="G184">
        <v>9</v>
      </c>
      <c r="J184" s="8">
        <f t="shared" si="21"/>
        <v>6.8181818181818177E-2</v>
      </c>
      <c r="K184" s="8">
        <f t="shared" si="22"/>
        <v>4.1818181818181817</v>
      </c>
      <c r="L184" s="8">
        <f t="shared" si="23"/>
        <v>1.6304347826086956E-2</v>
      </c>
      <c r="M184" s="15">
        <f t="shared" si="16"/>
        <v>1056</v>
      </c>
      <c r="N184" s="15">
        <f t="shared" si="17"/>
        <v>324</v>
      </c>
      <c r="O184" s="15">
        <f t="shared" si="18"/>
        <v>1380</v>
      </c>
      <c r="P184" s="15">
        <f t="shared" si="19"/>
        <v>7.5</v>
      </c>
      <c r="Q184" s="15"/>
    </row>
    <row r="185" spans="1:17">
      <c r="A185" s="2">
        <v>45726</v>
      </c>
      <c r="B185" s="1">
        <f t="shared" ca="1" si="20"/>
        <v>3</v>
      </c>
      <c r="C185">
        <v>250</v>
      </c>
      <c r="D185">
        <v>5</v>
      </c>
      <c r="E185">
        <v>90</v>
      </c>
      <c r="F185">
        <v>20</v>
      </c>
      <c r="G185">
        <v>9</v>
      </c>
      <c r="J185" s="8">
        <f t="shared" si="21"/>
        <v>5.5555555555555552E-2</v>
      </c>
      <c r="K185" s="8">
        <f t="shared" si="22"/>
        <v>2.7777777777777777</v>
      </c>
      <c r="L185" s="8">
        <f t="shared" si="23"/>
        <v>0.02</v>
      </c>
      <c r="M185" s="15">
        <f t="shared" si="16"/>
        <v>1800</v>
      </c>
      <c r="N185" s="15">
        <f t="shared" si="17"/>
        <v>270</v>
      </c>
      <c r="O185" s="15">
        <f t="shared" si="18"/>
        <v>2070</v>
      </c>
      <c r="P185" s="15">
        <f t="shared" si="19"/>
        <v>8.2799999999999994</v>
      </c>
      <c r="Q185" s="15"/>
    </row>
    <row r="186" spans="1:17">
      <c r="A186" s="2">
        <v>45713</v>
      </c>
      <c r="B186" s="1">
        <f t="shared" ca="1" si="20"/>
        <v>1</v>
      </c>
      <c r="C186">
        <v>219</v>
      </c>
      <c r="D186">
        <v>5</v>
      </c>
      <c r="E186">
        <v>50</v>
      </c>
      <c r="F186">
        <v>23</v>
      </c>
      <c r="G186">
        <v>9</v>
      </c>
      <c r="J186" s="8">
        <f t="shared" si="21"/>
        <v>0.1</v>
      </c>
      <c r="K186" s="8">
        <f t="shared" si="22"/>
        <v>4.38</v>
      </c>
      <c r="L186" s="8">
        <f t="shared" si="23"/>
        <v>2.2831050228310501E-2</v>
      </c>
      <c r="M186" s="15">
        <f t="shared" si="16"/>
        <v>1150</v>
      </c>
      <c r="N186" s="15">
        <f t="shared" si="17"/>
        <v>310.5</v>
      </c>
      <c r="O186" s="15">
        <f t="shared" si="18"/>
        <v>1460.5</v>
      </c>
      <c r="P186" s="15">
        <f t="shared" si="19"/>
        <v>6.6689497716894977</v>
      </c>
      <c r="Q186" s="15"/>
    </row>
    <row r="187" spans="1:17">
      <c r="A187" s="2">
        <v>45756</v>
      </c>
      <c r="B187" s="1">
        <f t="shared" ca="1" si="20"/>
        <v>3</v>
      </c>
      <c r="C187">
        <v>530</v>
      </c>
      <c r="D187">
        <v>6</v>
      </c>
      <c r="E187">
        <v>67</v>
      </c>
      <c r="F187">
        <v>18</v>
      </c>
      <c r="G187">
        <v>7</v>
      </c>
      <c r="J187" s="8">
        <f t="shared" si="21"/>
        <v>8.9552238805970144E-2</v>
      </c>
      <c r="K187" s="8">
        <f t="shared" si="22"/>
        <v>7.91044776119403</v>
      </c>
      <c r="L187" s="8">
        <f t="shared" si="23"/>
        <v>1.1320754716981131E-2</v>
      </c>
      <c r="M187" s="15">
        <f t="shared" si="16"/>
        <v>1206</v>
      </c>
      <c r="N187" s="15">
        <f t="shared" si="17"/>
        <v>189</v>
      </c>
      <c r="O187" s="15">
        <f t="shared" si="18"/>
        <v>1395</v>
      </c>
      <c r="P187" s="15">
        <f t="shared" si="19"/>
        <v>2.6320754716981134</v>
      </c>
      <c r="Q187" s="15"/>
    </row>
    <row r="188" spans="1:17">
      <c r="A188" s="2">
        <v>46003</v>
      </c>
      <c r="B188" s="1">
        <f t="shared" ca="1" si="20"/>
        <v>2</v>
      </c>
      <c r="C188">
        <v>398</v>
      </c>
      <c r="D188">
        <v>6</v>
      </c>
      <c r="E188">
        <v>107</v>
      </c>
      <c r="F188">
        <v>21</v>
      </c>
      <c r="G188">
        <v>10</v>
      </c>
      <c r="J188" s="8">
        <f t="shared" si="21"/>
        <v>5.6074766355140186E-2</v>
      </c>
      <c r="K188" s="8">
        <f t="shared" si="22"/>
        <v>3.7196261682242993</v>
      </c>
      <c r="L188" s="8">
        <f t="shared" si="23"/>
        <v>1.507537688442211E-2</v>
      </c>
      <c r="M188" s="15">
        <f t="shared" si="16"/>
        <v>2247</v>
      </c>
      <c r="N188" s="15">
        <f t="shared" si="17"/>
        <v>315</v>
      </c>
      <c r="O188" s="15">
        <f t="shared" si="18"/>
        <v>2562</v>
      </c>
      <c r="P188" s="15">
        <f t="shared" si="19"/>
        <v>6.4371859296482414</v>
      </c>
      <c r="Q188" s="15"/>
    </row>
    <row r="189" spans="1:17">
      <c r="A189" s="2">
        <v>45952</v>
      </c>
      <c r="B189" s="1">
        <f t="shared" ca="1" si="20"/>
        <v>2</v>
      </c>
      <c r="C189">
        <v>498</v>
      </c>
      <c r="D189">
        <v>10</v>
      </c>
      <c r="E189">
        <v>106</v>
      </c>
      <c r="F189">
        <v>22</v>
      </c>
      <c r="G189">
        <v>6</v>
      </c>
      <c r="J189" s="8">
        <f t="shared" si="21"/>
        <v>9.4339622641509441E-2</v>
      </c>
      <c r="K189" s="8">
        <f t="shared" si="22"/>
        <v>4.6981132075471699</v>
      </c>
      <c r="L189" s="8">
        <f t="shared" si="23"/>
        <v>2.0080321285140562E-2</v>
      </c>
      <c r="M189" s="15">
        <f t="shared" si="16"/>
        <v>2332</v>
      </c>
      <c r="N189" s="15">
        <f t="shared" si="17"/>
        <v>198</v>
      </c>
      <c r="O189" s="15">
        <f t="shared" si="18"/>
        <v>2530</v>
      </c>
      <c r="P189" s="15">
        <f t="shared" si="19"/>
        <v>5.0803212851405624</v>
      </c>
      <c r="Q189" s="15"/>
    </row>
    <row r="190" spans="1:17">
      <c r="A190" s="2">
        <v>45936</v>
      </c>
      <c r="B190" s="1">
        <f t="shared" ca="1" si="20"/>
        <v>1</v>
      </c>
      <c r="C190">
        <v>600</v>
      </c>
      <c r="D190">
        <v>3</v>
      </c>
      <c r="E190">
        <v>77</v>
      </c>
      <c r="F190">
        <v>23</v>
      </c>
      <c r="G190">
        <v>5</v>
      </c>
      <c r="J190" s="8">
        <f t="shared" si="21"/>
        <v>3.896103896103896E-2</v>
      </c>
      <c r="K190" s="8">
        <f t="shared" si="22"/>
        <v>7.7922077922077921</v>
      </c>
      <c r="L190" s="8">
        <f t="shared" si="23"/>
        <v>5.0000000000000001E-3</v>
      </c>
      <c r="M190" s="15">
        <f t="shared" si="16"/>
        <v>1771</v>
      </c>
      <c r="N190" s="15">
        <f t="shared" si="17"/>
        <v>172.5</v>
      </c>
      <c r="O190" s="15">
        <f t="shared" si="18"/>
        <v>1943.5</v>
      </c>
      <c r="P190" s="15">
        <f t="shared" si="19"/>
        <v>3.2391666666666667</v>
      </c>
      <c r="Q190" s="15"/>
    </row>
    <row r="191" spans="1:17">
      <c r="A191" s="2">
        <v>45912</v>
      </c>
      <c r="B191" s="1">
        <f t="shared" ca="1" si="20"/>
        <v>2</v>
      </c>
      <c r="C191">
        <v>332</v>
      </c>
      <c r="D191">
        <v>8</v>
      </c>
      <c r="E191">
        <v>107</v>
      </c>
      <c r="F191">
        <v>19</v>
      </c>
      <c r="G191">
        <v>6</v>
      </c>
      <c r="J191" s="8">
        <f t="shared" si="21"/>
        <v>7.476635514018691E-2</v>
      </c>
      <c r="K191" s="8">
        <f t="shared" si="22"/>
        <v>3.1028037383177569</v>
      </c>
      <c r="L191" s="8">
        <f t="shared" si="23"/>
        <v>2.4096385542168676E-2</v>
      </c>
      <c r="M191" s="15">
        <f t="shared" si="16"/>
        <v>2033</v>
      </c>
      <c r="N191" s="15">
        <f t="shared" si="17"/>
        <v>171</v>
      </c>
      <c r="O191" s="15">
        <f t="shared" si="18"/>
        <v>2204</v>
      </c>
      <c r="P191" s="15">
        <f t="shared" si="19"/>
        <v>6.6385542168674698</v>
      </c>
      <c r="Q191" s="15"/>
    </row>
    <row r="192" spans="1:17">
      <c r="A192" s="2">
        <v>45826</v>
      </c>
      <c r="B192" s="1">
        <f t="shared" ca="1" si="20"/>
        <v>1</v>
      </c>
      <c r="C192">
        <v>175</v>
      </c>
      <c r="D192">
        <v>7</v>
      </c>
      <c r="E192">
        <v>70</v>
      </c>
      <c r="F192">
        <v>26</v>
      </c>
      <c r="G192">
        <v>6</v>
      </c>
      <c r="J192" s="8">
        <f t="shared" si="21"/>
        <v>0.1</v>
      </c>
      <c r="K192" s="8">
        <f t="shared" si="22"/>
        <v>2.5</v>
      </c>
      <c r="L192" s="8">
        <f t="shared" si="23"/>
        <v>0.04</v>
      </c>
      <c r="M192" s="15">
        <f t="shared" si="16"/>
        <v>1820</v>
      </c>
      <c r="N192" s="15">
        <f t="shared" si="17"/>
        <v>234</v>
      </c>
      <c r="O192" s="15">
        <f t="shared" si="18"/>
        <v>2054</v>
      </c>
      <c r="P192" s="15">
        <f t="shared" si="19"/>
        <v>11.737142857142857</v>
      </c>
      <c r="Q192" s="15"/>
    </row>
    <row r="193" spans="1:17">
      <c r="A193" s="2">
        <v>45861</v>
      </c>
      <c r="B193" s="1">
        <f t="shared" ca="1" si="20"/>
        <v>3</v>
      </c>
      <c r="C193">
        <v>327</v>
      </c>
      <c r="D193">
        <v>10</v>
      </c>
      <c r="E193">
        <v>57</v>
      </c>
      <c r="F193">
        <v>26</v>
      </c>
      <c r="G193">
        <v>6</v>
      </c>
      <c r="J193" s="8">
        <f t="shared" si="21"/>
        <v>0.17543859649122806</v>
      </c>
      <c r="K193" s="8">
        <f t="shared" si="22"/>
        <v>5.7368421052631575</v>
      </c>
      <c r="L193" s="8">
        <f t="shared" si="23"/>
        <v>3.0581039755351681E-2</v>
      </c>
      <c r="M193" s="15">
        <f t="shared" si="16"/>
        <v>1482</v>
      </c>
      <c r="N193" s="15">
        <f t="shared" si="17"/>
        <v>234</v>
      </c>
      <c r="O193" s="15">
        <f t="shared" si="18"/>
        <v>1716</v>
      </c>
      <c r="P193" s="15">
        <f t="shared" si="19"/>
        <v>5.2477064220183482</v>
      </c>
      <c r="Q193" s="15"/>
    </row>
    <row r="194" spans="1:17">
      <c r="A194" s="2">
        <v>45704</v>
      </c>
      <c r="B194" s="1">
        <f t="shared" ca="1" si="20"/>
        <v>3</v>
      </c>
      <c r="C194">
        <v>505</v>
      </c>
      <c r="D194">
        <v>10</v>
      </c>
      <c r="E194">
        <v>46</v>
      </c>
      <c r="F194">
        <v>24</v>
      </c>
      <c r="G194">
        <v>6</v>
      </c>
      <c r="J194" s="8">
        <f t="shared" si="21"/>
        <v>0.21739130434782608</v>
      </c>
      <c r="K194" s="8">
        <f t="shared" si="22"/>
        <v>10.978260869565217</v>
      </c>
      <c r="L194" s="8">
        <f t="shared" si="23"/>
        <v>1.9801980198019802E-2</v>
      </c>
      <c r="M194" s="15">
        <f t="shared" ref="M194:M210" si="24">E194 * F194</f>
        <v>1104</v>
      </c>
      <c r="N194" s="15">
        <f t="shared" ref="N194:N210" si="25">G194 * F194 * 1.5</f>
        <v>216</v>
      </c>
      <c r="O194" s="15">
        <f t="shared" ref="O194:O210" si="26">M194 + N194</f>
        <v>1320</v>
      </c>
      <c r="P194" s="15">
        <f t="shared" ref="P194:P210" si="27">O194 / C194</f>
        <v>2.613861386138614</v>
      </c>
      <c r="Q194" s="15"/>
    </row>
    <row r="195" spans="1:17">
      <c r="A195" s="2">
        <v>45985</v>
      </c>
      <c r="B195" s="1">
        <f t="shared" ref="B195:B210" ca="1" si="28">RANDBETWEEN(1,3)</f>
        <v>3</v>
      </c>
      <c r="C195">
        <v>562</v>
      </c>
      <c r="D195">
        <v>5</v>
      </c>
      <c r="E195">
        <v>65</v>
      </c>
      <c r="F195">
        <v>21</v>
      </c>
      <c r="G195">
        <v>8</v>
      </c>
      <c r="J195" s="8">
        <f t="shared" ref="J195:J210" si="29">D195/E195</f>
        <v>7.6923076923076927E-2</v>
      </c>
      <c r="K195" s="8">
        <f t="shared" ref="K195:K210" si="30">C195 / E195</f>
        <v>8.6461538461538456</v>
      </c>
      <c r="L195" s="8">
        <f t="shared" ref="L195:L210" si="31">D195 / C195</f>
        <v>8.8967971530249119E-3</v>
      </c>
      <c r="M195" s="15">
        <f t="shared" si="24"/>
        <v>1365</v>
      </c>
      <c r="N195" s="15">
        <f t="shared" si="25"/>
        <v>252</v>
      </c>
      <c r="O195" s="15">
        <f t="shared" si="26"/>
        <v>1617</v>
      </c>
      <c r="P195" s="15">
        <f t="shared" si="27"/>
        <v>2.8772241992882561</v>
      </c>
      <c r="Q195" s="15"/>
    </row>
    <row r="196" spans="1:17">
      <c r="A196" s="2">
        <v>45913</v>
      </c>
      <c r="B196" s="1">
        <f t="shared" ca="1" si="28"/>
        <v>2</v>
      </c>
      <c r="C196">
        <v>248</v>
      </c>
      <c r="D196">
        <v>2</v>
      </c>
      <c r="E196">
        <v>77</v>
      </c>
      <c r="F196">
        <v>28</v>
      </c>
      <c r="G196">
        <v>7</v>
      </c>
      <c r="J196" s="8">
        <f t="shared" si="29"/>
        <v>2.5974025974025976E-2</v>
      </c>
      <c r="K196" s="8">
        <f t="shared" si="30"/>
        <v>3.220779220779221</v>
      </c>
      <c r="L196" s="8">
        <f t="shared" si="31"/>
        <v>8.0645161290322578E-3</v>
      </c>
      <c r="M196" s="15">
        <f t="shared" si="24"/>
        <v>2156</v>
      </c>
      <c r="N196" s="15">
        <f t="shared" si="25"/>
        <v>294</v>
      </c>
      <c r="O196" s="15">
        <f t="shared" si="26"/>
        <v>2450</v>
      </c>
      <c r="P196" s="15">
        <f t="shared" si="27"/>
        <v>9.879032258064516</v>
      </c>
      <c r="Q196" s="15"/>
    </row>
    <row r="197" spans="1:17">
      <c r="A197" s="2">
        <v>45892</v>
      </c>
      <c r="B197" s="1">
        <f t="shared" ca="1" si="28"/>
        <v>1</v>
      </c>
      <c r="C197">
        <v>304</v>
      </c>
      <c r="D197">
        <v>7</v>
      </c>
      <c r="E197">
        <v>118</v>
      </c>
      <c r="F197">
        <v>18</v>
      </c>
      <c r="G197">
        <v>10</v>
      </c>
      <c r="J197" s="8">
        <f t="shared" si="29"/>
        <v>5.9322033898305086E-2</v>
      </c>
      <c r="K197" s="8">
        <f t="shared" si="30"/>
        <v>2.5762711864406778</v>
      </c>
      <c r="L197" s="8">
        <f t="shared" si="31"/>
        <v>2.3026315789473683E-2</v>
      </c>
      <c r="M197" s="15">
        <f t="shared" si="24"/>
        <v>2124</v>
      </c>
      <c r="N197" s="15">
        <f t="shared" si="25"/>
        <v>270</v>
      </c>
      <c r="O197" s="15">
        <f t="shared" si="26"/>
        <v>2394</v>
      </c>
      <c r="P197" s="15">
        <f t="shared" si="27"/>
        <v>7.875</v>
      </c>
      <c r="Q197" s="15"/>
    </row>
    <row r="198" spans="1:17">
      <c r="A198" s="2">
        <v>45691</v>
      </c>
      <c r="B198" s="1">
        <f t="shared" ca="1" si="28"/>
        <v>3</v>
      </c>
      <c r="C198">
        <v>486</v>
      </c>
      <c r="D198">
        <v>9</v>
      </c>
      <c r="E198">
        <v>111</v>
      </c>
      <c r="F198">
        <v>20</v>
      </c>
      <c r="G198">
        <v>6</v>
      </c>
      <c r="J198" s="8">
        <f t="shared" si="29"/>
        <v>8.1081081081081086E-2</v>
      </c>
      <c r="K198" s="8">
        <f t="shared" si="30"/>
        <v>4.3783783783783781</v>
      </c>
      <c r="L198" s="8">
        <f t="shared" si="31"/>
        <v>1.8518518518518517E-2</v>
      </c>
      <c r="M198" s="15">
        <f t="shared" si="24"/>
        <v>2220</v>
      </c>
      <c r="N198" s="15">
        <f t="shared" si="25"/>
        <v>180</v>
      </c>
      <c r="O198" s="15">
        <f t="shared" si="26"/>
        <v>2400</v>
      </c>
      <c r="P198" s="15">
        <f t="shared" si="27"/>
        <v>4.9382716049382713</v>
      </c>
      <c r="Q198" s="15"/>
    </row>
    <row r="199" spans="1:17">
      <c r="A199" s="2">
        <v>45851</v>
      </c>
      <c r="B199" s="1">
        <f t="shared" ca="1" si="28"/>
        <v>2</v>
      </c>
      <c r="C199">
        <v>241</v>
      </c>
      <c r="D199">
        <v>3</v>
      </c>
      <c r="E199">
        <v>99</v>
      </c>
      <c r="F199">
        <v>18</v>
      </c>
      <c r="G199">
        <v>5</v>
      </c>
      <c r="J199" s="8">
        <f t="shared" si="29"/>
        <v>3.0303030303030304E-2</v>
      </c>
      <c r="K199" s="8">
        <f t="shared" si="30"/>
        <v>2.4343434343434343</v>
      </c>
      <c r="L199" s="8">
        <f t="shared" si="31"/>
        <v>1.2448132780082987E-2</v>
      </c>
      <c r="M199" s="15">
        <f t="shared" si="24"/>
        <v>1782</v>
      </c>
      <c r="N199" s="15">
        <f t="shared" si="25"/>
        <v>135</v>
      </c>
      <c r="O199" s="15">
        <f t="shared" si="26"/>
        <v>1917</v>
      </c>
      <c r="P199" s="15">
        <f t="shared" si="27"/>
        <v>7.9543568464730292</v>
      </c>
      <c r="Q199" s="15"/>
    </row>
    <row r="200" spans="1:17">
      <c r="A200" s="2">
        <v>45682</v>
      </c>
      <c r="B200" s="1">
        <f t="shared" ca="1" si="28"/>
        <v>3</v>
      </c>
      <c r="C200">
        <v>389</v>
      </c>
      <c r="D200">
        <v>2</v>
      </c>
      <c r="E200">
        <v>114</v>
      </c>
      <c r="F200">
        <v>25</v>
      </c>
      <c r="G200">
        <v>10</v>
      </c>
      <c r="J200" s="8">
        <f t="shared" si="29"/>
        <v>1.7543859649122806E-2</v>
      </c>
      <c r="K200" s="8">
        <f t="shared" si="30"/>
        <v>3.4122807017543861</v>
      </c>
      <c r="L200" s="8">
        <f t="shared" si="31"/>
        <v>5.1413881748071976E-3</v>
      </c>
      <c r="M200" s="15">
        <f t="shared" si="24"/>
        <v>2850</v>
      </c>
      <c r="N200" s="15">
        <f t="shared" si="25"/>
        <v>375</v>
      </c>
      <c r="O200" s="15">
        <f t="shared" si="26"/>
        <v>3225</v>
      </c>
      <c r="P200" s="15">
        <f t="shared" si="27"/>
        <v>8.2904884318766072</v>
      </c>
      <c r="Q200" s="15"/>
    </row>
    <row r="201" spans="1:17">
      <c r="A201" s="2">
        <v>45910</v>
      </c>
      <c r="B201" s="1">
        <f t="shared" ca="1" si="28"/>
        <v>3</v>
      </c>
      <c r="C201">
        <v>580</v>
      </c>
      <c r="D201">
        <v>9</v>
      </c>
      <c r="E201">
        <v>90</v>
      </c>
      <c r="F201">
        <v>26</v>
      </c>
      <c r="G201">
        <v>5</v>
      </c>
      <c r="J201" s="8">
        <f t="shared" si="29"/>
        <v>0.1</v>
      </c>
      <c r="K201" s="8">
        <f t="shared" si="30"/>
        <v>6.4444444444444446</v>
      </c>
      <c r="L201" s="8">
        <f t="shared" si="31"/>
        <v>1.5517241379310345E-2</v>
      </c>
      <c r="M201" s="15">
        <f t="shared" si="24"/>
        <v>2340</v>
      </c>
      <c r="N201" s="15">
        <f t="shared" si="25"/>
        <v>195</v>
      </c>
      <c r="O201" s="15">
        <f t="shared" si="26"/>
        <v>2535</v>
      </c>
      <c r="P201" s="15">
        <f t="shared" si="27"/>
        <v>4.3706896551724137</v>
      </c>
      <c r="Q201" s="15"/>
    </row>
    <row r="202" spans="1:17">
      <c r="A202" s="2">
        <v>45878</v>
      </c>
      <c r="B202" s="1">
        <f t="shared" ca="1" si="28"/>
        <v>3</v>
      </c>
      <c r="C202">
        <v>190</v>
      </c>
      <c r="D202">
        <v>7</v>
      </c>
      <c r="E202">
        <v>55</v>
      </c>
      <c r="F202">
        <v>27</v>
      </c>
      <c r="G202">
        <v>8</v>
      </c>
      <c r="J202" s="8">
        <f t="shared" si="29"/>
        <v>0.12727272727272726</v>
      </c>
      <c r="K202" s="8">
        <f t="shared" si="30"/>
        <v>3.4545454545454546</v>
      </c>
      <c r="L202" s="8">
        <f t="shared" si="31"/>
        <v>3.6842105263157891E-2</v>
      </c>
      <c r="M202" s="15">
        <f t="shared" si="24"/>
        <v>1485</v>
      </c>
      <c r="N202" s="15">
        <f t="shared" si="25"/>
        <v>324</v>
      </c>
      <c r="O202" s="15">
        <f t="shared" si="26"/>
        <v>1809</v>
      </c>
      <c r="P202" s="15">
        <f t="shared" si="27"/>
        <v>9.5210526315789465</v>
      </c>
      <c r="Q202" s="15"/>
    </row>
    <row r="203" spans="1:17">
      <c r="A203" s="2">
        <v>45954</v>
      </c>
      <c r="B203" s="1">
        <f t="shared" ca="1" si="28"/>
        <v>1</v>
      </c>
      <c r="C203">
        <v>490</v>
      </c>
      <c r="D203">
        <v>5</v>
      </c>
      <c r="E203">
        <v>112</v>
      </c>
      <c r="F203">
        <v>25</v>
      </c>
      <c r="G203">
        <v>8</v>
      </c>
      <c r="J203" s="8">
        <f t="shared" si="29"/>
        <v>4.4642857142857144E-2</v>
      </c>
      <c r="K203" s="8">
        <f t="shared" si="30"/>
        <v>4.375</v>
      </c>
      <c r="L203" s="8">
        <f t="shared" si="31"/>
        <v>1.020408163265306E-2</v>
      </c>
      <c r="M203" s="15">
        <f t="shared" si="24"/>
        <v>2800</v>
      </c>
      <c r="N203" s="15">
        <f t="shared" si="25"/>
        <v>300</v>
      </c>
      <c r="O203" s="15">
        <f t="shared" si="26"/>
        <v>3100</v>
      </c>
      <c r="P203" s="15">
        <f t="shared" si="27"/>
        <v>6.3265306122448983</v>
      </c>
      <c r="Q203" s="15"/>
    </row>
    <row r="204" spans="1:17">
      <c r="A204" s="2">
        <v>45700</v>
      </c>
      <c r="B204" s="1">
        <f t="shared" ca="1" si="28"/>
        <v>3</v>
      </c>
      <c r="C204">
        <v>383</v>
      </c>
      <c r="D204">
        <v>6</v>
      </c>
      <c r="E204">
        <v>99</v>
      </c>
      <c r="F204">
        <v>30</v>
      </c>
      <c r="G204">
        <v>10</v>
      </c>
      <c r="J204" s="8">
        <f t="shared" si="29"/>
        <v>6.0606060606060608E-2</v>
      </c>
      <c r="K204" s="8">
        <f t="shared" si="30"/>
        <v>3.8686868686868685</v>
      </c>
      <c r="L204" s="8">
        <f t="shared" si="31"/>
        <v>1.5665796344647518E-2</v>
      </c>
      <c r="M204" s="15">
        <f t="shared" si="24"/>
        <v>2970</v>
      </c>
      <c r="N204" s="15">
        <f t="shared" si="25"/>
        <v>450</v>
      </c>
      <c r="O204" s="15">
        <f t="shared" si="26"/>
        <v>3420</v>
      </c>
      <c r="P204" s="15">
        <f t="shared" si="27"/>
        <v>8.9295039164490859</v>
      </c>
      <c r="Q204" s="15"/>
    </row>
    <row r="205" spans="1:17">
      <c r="A205" s="2">
        <v>45766</v>
      </c>
      <c r="B205" s="1">
        <f t="shared" ca="1" si="28"/>
        <v>3</v>
      </c>
      <c r="C205">
        <v>559</v>
      </c>
      <c r="D205">
        <v>7</v>
      </c>
      <c r="E205">
        <v>87</v>
      </c>
      <c r="F205">
        <v>18</v>
      </c>
      <c r="G205">
        <v>9</v>
      </c>
      <c r="J205" s="8">
        <f t="shared" si="29"/>
        <v>8.0459770114942528E-2</v>
      </c>
      <c r="K205" s="8">
        <f t="shared" si="30"/>
        <v>6.4252873563218387</v>
      </c>
      <c r="L205" s="8">
        <f t="shared" si="31"/>
        <v>1.2522361359570662E-2</v>
      </c>
      <c r="M205" s="15">
        <f t="shared" si="24"/>
        <v>1566</v>
      </c>
      <c r="N205" s="15">
        <f t="shared" si="25"/>
        <v>243</v>
      </c>
      <c r="O205" s="15">
        <f t="shared" si="26"/>
        <v>1809</v>
      </c>
      <c r="P205" s="15">
        <f t="shared" si="27"/>
        <v>3.2361359570661898</v>
      </c>
      <c r="Q205" s="15"/>
    </row>
    <row r="206" spans="1:17">
      <c r="A206" s="2">
        <v>46004</v>
      </c>
      <c r="B206" s="1">
        <f t="shared" ca="1" si="28"/>
        <v>1</v>
      </c>
      <c r="C206">
        <v>297</v>
      </c>
      <c r="D206">
        <v>5</v>
      </c>
      <c r="E206">
        <v>105</v>
      </c>
      <c r="F206">
        <v>26</v>
      </c>
      <c r="G206">
        <v>7</v>
      </c>
      <c r="J206" s="8">
        <f t="shared" si="29"/>
        <v>4.7619047619047616E-2</v>
      </c>
      <c r="K206" s="8">
        <f t="shared" si="30"/>
        <v>2.8285714285714287</v>
      </c>
      <c r="L206" s="8">
        <f t="shared" si="31"/>
        <v>1.6835016835016835E-2</v>
      </c>
      <c r="M206" s="15">
        <f t="shared" si="24"/>
        <v>2730</v>
      </c>
      <c r="N206" s="15">
        <f t="shared" si="25"/>
        <v>273</v>
      </c>
      <c r="O206" s="15">
        <f t="shared" si="26"/>
        <v>3003</v>
      </c>
      <c r="P206" s="15">
        <f t="shared" si="27"/>
        <v>10.111111111111111</v>
      </c>
      <c r="Q206" s="15"/>
    </row>
    <row r="207" spans="1:17">
      <c r="A207" s="2">
        <v>45736</v>
      </c>
      <c r="B207" s="1">
        <f t="shared" ca="1" si="28"/>
        <v>2</v>
      </c>
      <c r="C207">
        <v>356</v>
      </c>
      <c r="D207">
        <v>2</v>
      </c>
      <c r="E207">
        <v>69</v>
      </c>
      <c r="F207">
        <v>26</v>
      </c>
      <c r="G207">
        <v>8</v>
      </c>
      <c r="J207" s="8">
        <f t="shared" si="29"/>
        <v>2.8985507246376812E-2</v>
      </c>
      <c r="K207" s="8">
        <f t="shared" si="30"/>
        <v>5.1594202898550723</v>
      </c>
      <c r="L207" s="8">
        <f t="shared" si="31"/>
        <v>5.6179775280898875E-3</v>
      </c>
      <c r="M207" s="15">
        <f t="shared" si="24"/>
        <v>1794</v>
      </c>
      <c r="N207" s="15">
        <f t="shared" si="25"/>
        <v>312</v>
      </c>
      <c r="O207" s="15">
        <f t="shared" si="26"/>
        <v>2106</v>
      </c>
      <c r="P207" s="15">
        <f t="shared" si="27"/>
        <v>5.915730337078652</v>
      </c>
      <c r="Q207" s="15"/>
    </row>
    <row r="208" spans="1:17">
      <c r="A208" s="2">
        <v>45768</v>
      </c>
      <c r="B208" s="1">
        <f t="shared" ca="1" si="28"/>
        <v>1</v>
      </c>
      <c r="C208">
        <v>341</v>
      </c>
      <c r="D208">
        <v>5</v>
      </c>
      <c r="E208">
        <v>69</v>
      </c>
      <c r="F208">
        <v>29</v>
      </c>
      <c r="G208">
        <v>9</v>
      </c>
      <c r="J208" s="8">
        <f t="shared" si="29"/>
        <v>7.2463768115942032E-2</v>
      </c>
      <c r="K208" s="8">
        <f t="shared" si="30"/>
        <v>4.9420289855072461</v>
      </c>
      <c r="L208" s="8">
        <f t="shared" si="31"/>
        <v>1.466275659824047E-2</v>
      </c>
      <c r="M208" s="15">
        <f t="shared" si="24"/>
        <v>2001</v>
      </c>
      <c r="N208" s="15">
        <f t="shared" si="25"/>
        <v>391.5</v>
      </c>
      <c r="O208" s="15">
        <f t="shared" si="26"/>
        <v>2392.5</v>
      </c>
      <c r="P208" s="15">
        <f t="shared" si="27"/>
        <v>7.0161290322580649</v>
      </c>
      <c r="Q208" s="15"/>
    </row>
    <row r="209" spans="1:17">
      <c r="A209" s="2">
        <v>45773</v>
      </c>
      <c r="B209" s="1">
        <f t="shared" ca="1" si="28"/>
        <v>2</v>
      </c>
      <c r="C209">
        <v>290</v>
      </c>
      <c r="D209">
        <v>2</v>
      </c>
      <c r="E209">
        <v>109</v>
      </c>
      <c r="F209">
        <v>21</v>
      </c>
      <c r="G209">
        <v>8</v>
      </c>
      <c r="J209" s="8">
        <f t="shared" si="29"/>
        <v>1.834862385321101E-2</v>
      </c>
      <c r="K209" s="8">
        <f t="shared" si="30"/>
        <v>2.6605504587155964</v>
      </c>
      <c r="L209" s="8">
        <f t="shared" si="31"/>
        <v>6.8965517241379309E-3</v>
      </c>
      <c r="M209" s="15">
        <f t="shared" si="24"/>
        <v>2289</v>
      </c>
      <c r="N209" s="15">
        <f t="shared" si="25"/>
        <v>252</v>
      </c>
      <c r="O209" s="15">
        <f t="shared" si="26"/>
        <v>2541</v>
      </c>
      <c r="P209" s="15">
        <f t="shared" si="27"/>
        <v>8.7620689655172406</v>
      </c>
      <c r="Q209" s="15"/>
    </row>
    <row r="210" spans="1:17">
      <c r="A210" s="2">
        <v>45871</v>
      </c>
      <c r="B210" s="1">
        <f t="shared" ca="1" si="28"/>
        <v>2</v>
      </c>
      <c r="C210">
        <v>163</v>
      </c>
      <c r="D210">
        <v>8</v>
      </c>
      <c r="E210">
        <v>97</v>
      </c>
      <c r="F210">
        <v>18</v>
      </c>
      <c r="G210">
        <v>10</v>
      </c>
      <c r="J210" s="8">
        <f t="shared" si="29"/>
        <v>8.247422680412371E-2</v>
      </c>
      <c r="K210" s="8">
        <f t="shared" si="30"/>
        <v>1.6804123711340206</v>
      </c>
      <c r="L210" s="8">
        <f t="shared" si="31"/>
        <v>4.9079754601226995E-2</v>
      </c>
      <c r="M210" s="16">
        <f t="shared" si="24"/>
        <v>1746</v>
      </c>
      <c r="N210" s="16">
        <f t="shared" si="25"/>
        <v>270</v>
      </c>
      <c r="O210" s="16">
        <f t="shared" si="26"/>
        <v>2016</v>
      </c>
      <c r="P210" s="16">
        <f t="shared" si="27"/>
        <v>12.368098159509202</v>
      </c>
      <c r="Q210" s="16"/>
    </row>
    <row r="211" spans="1:17">
      <c r="J211" s="6"/>
      <c r="K211" s="6"/>
      <c r="L211" s="6"/>
    </row>
    <row r="212" spans="1:17">
      <c r="J212" s="6"/>
      <c r="K212" s="6"/>
      <c r="L212" s="6"/>
    </row>
    <row r="213" spans="1:17">
      <c r="J213" s="6"/>
      <c r="K213" s="6"/>
      <c r="L213" s="6"/>
    </row>
    <row r="214" spans="1:17">
      <c r="J214" s="6"/>
      <c r="K214" s="6"/>
      <c r="L214" s="6"/>
    </row>
    <row r="215" spans="1:17">
      <c r="J215" s="6"/>
      <c r="K215" s="6"/>
      <c r="L215" s="6"/>
    </row>
    <row r="216" spans="1:17">
      <c r="J216" s="6"/>
      <c r="K216" s="6"/>
      <c r="L216" s="6"/>
    </row>
    <row r="217" spans="1:17">
      <c r="J217" s="6"/>
      <c r="K217" s="6"/>
      <c r="L217" s="6"/>
    </row>
    <row r="218" spans="1:17">
      <c r="J218" s="6"/>
      <c r="K218" s="6"/>
      <c r="L218" s="6"/>
    </row>
    <row r="219" spans="1:17">
      <c r="J219" s="6"/>
      <c r="K219" s="6"/>
      <c r="L219" s="6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6BE0-D69E-48C5-BDFA-FAC508219FCA}">
  <dimension ref="A2:B7"/>
  <sheetViews>
    <sheetView topLeftCell="A2" workbookViewId="0">
      <selection activeCell="A2" sqref="A2:C19"/>
    </sheetView>
  </sheetViews>
  <sheetFormatPr defaultRowHeight="15"/>
  <cols>
    <col min="1" max="1" width="11.42578125" bestFit="1" customWidth="1"/>
    <col min="2" max="2" width="13.5703125" bestFit="1" customWidth="1"/>
    <col min="3" max="162" width="4.140625" bestFit="1" customWidth="1"/>
    <col min="163" max="163" width="7.140625" bestFit="1" customWidth="1"/>
    <col min="164" max="164" width="11.42578125" bestFit="1" customWidth="1"/>
  </cols>
  <sheetData>
    <row r="2" spans="1:2">
      <c r="A2" s="19" t="s">
        <v>1</v>
      </c>
      <c r="B2" t="s">
        <v>17</v>
      </c>
    </row>
    <row r="3" spans="1:2">
      <c r="A3">
        <v>1</v>
      </c>
      <c r="B3" s="20">
        <v>29506</v>
      </c>
    </row>
    <row r="4" spans="1:2">
      <c r="A4">
        <v>2</v>
      </c>
      <c r="B4" s="20">
        <v>20462</v>
      </c>
    </row>
    <row r="5" spans="1:2">
      <c r="A5">
        <v>3</v>
      </c>
      <c r="B5" s="20">
        <v>26362</v>
      </c>
    </row>
    <row r="6" spans="1:2">
      <c r="A6" t="s">
        <v>18</v>
      </c>
      <c r="B6" s="20"/>
    </row>
    <row r="7" spans="1:2">
      <c r="A7" t="s">
        <v>19</v>
      </c>
      <c r="B7" s="20">
        <v>76330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B953-90A1-452C-A776-FC6ABE4AAC14}">
  <dimension ref="A2:C7"/>
  <sheetViews>
    <sheetView topLeftCell="A2" workbookViewId="0">
      <selection activeCell="C7" sqref="C7"/>
    </sheetView>
  </sheetViews>
  <sheetFormatPr defaultRowHeight="15"/>
  <cols>
    <col min="1" max="1" width="11.42578125" bestFit="1" customWidth="1"/>
    <col min="2" max="2" width="18.28515625" bestFit="1" customWidth="1"/>
    <col min="3" max="3" width="21.42578125" bestFit="1" customWidth="1"/>
  </cols>
  <sheetData>
    <row r="2" spans="1:3">
      <c r="A2" s="19" t="s">
        <v>1</v>
      </c>
      <c r="B2" t="s">
        <v>20</v>
      </c>
      <c r="C2" t="s">
        <v>21</v>
      </c>
    </row>
    <row r="3" spans="1:3">
      <c r="A3">
        <v>1</v>
      </c>
      <c r="B3" s="20">
        <v>5733</v>
      </c>
      <c r="C3" s="17">
        <v>23.319444444444443</v>
      </c>
    </row>
    <row r="4" spans="1:3">
      <c r="A4">
        <v>2</v>
      </c>
      <c r="B4" s="20">
        <v>5168</v>
      </c>
      <c r="C4" s="17">
        <v>23.14516129032258</v>
      </c>
    </row>
    <row r="5" spans="1:3">
      <c r="A5">
        <v>3</v>
      </c>
      <c r="B5" s="20">
        <v>5918</v>
      </c>
      <c r="C5" s="17">
        <v>24.053333333333335</v>
      </c>
    </row>
    <row r="6" spans="1:3">
      <c r="A6" t="s">
        <v>18</v>
      </c>
      <c r="B6" s="20"/>
      <c r="C6" s="20"/>
    </row>
    <row r="7" spans="1:3">
      <c r="A7" t="s">
        <v>19</v>
      </c>
      <c r="B7" s="20">
        <v>16819</v>
      </c>
      <c r="C7" s="17">
        <v>23.5311004784689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2026-03-01T12:32:12Z</dcterms:created>
  <dcterms:modified xsi:type="dcterms:W3CDTF">2026-03-02T14:19:09Z</dcterms:modified>
  <cp:category/>
  <cp:contentStatus/>
</cp:coreProperties>
</file>